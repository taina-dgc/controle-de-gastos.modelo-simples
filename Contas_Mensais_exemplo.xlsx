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Mensais" sheetId="1" state="visible" r:id="rId1"/>
    <sheet xmlns:r="http://schemas.openxmlformats.org/officeDocument/2006/relationships" name="Gastos do Mês" sheetId="2" state="visible" r:id="rId2"/>
    <sheet xmlns:r="http://schemas.openxmlformats.org/officeDocument/2006/relationships" name="Como usar" sheetId="3" state="visible" r:id="rId3"/>
  </sheets>
  <definedNames>
    <definedName name="sel">'Contas Mensais'!$B$4</definedName>
    <definedName name="sal">'Contas Mensais'!$E$4</definedName>
    <definedName name="tot">'Contas Mensais'!$K$52:$Y$59</definedName>
    <definedName name="hdr">'Contas Mensais'!$K$10:$Y$10</definedName>
    <definedName name="gm_Mes">'Gastos do Mês'!$C$4</definedName>
    <definedName name="gm_Lim">'Gastos do Mês'!$E$4</definedName>
    <definedName name="gm_Fim">'Gastos do Mês'!$C$5</definedName>
    <definedName name="gm_Data">'Gastos do Mês'!$B$26:$B$225</definedName>
    <definedName name="gm_Cat">'Gastos do Mês'!$D$26:$D$225</definedName>
    <definedName name="gm_Pag">'Gastos do Mês'!$E$26:$E$225</definedName>
    <definedName name="gm_Val">'Gastos do Mês'!$F$26:$F$225</definedName>
    <definedName name="gm_Sem">'Gastos do Mês'!$G$26:$G$225</definedName>
    <definedName name="_xlnm._FilterDatabase" localSheetId="1" hidden="1">'Gastos do Mês'!$B$25:$G$225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mmm/yyyy"/>
    <numFmt numFmtId="165" formatCode="&quot;R$&quot; #,##0.00;[Red]-&quot;R$&quot; #,##0.00;&quot;–&quot;"/>
    <numFmt numFmtId="166" formatCode="yyyy-mm-dd"/>
    <numFmt numFmtId="167" formatCode="mmm/yy"/>
    <numFmt numFmtId="168" formatCode="mmmm/yyyy"/>
    <numFmt numFmtId="169" formatCode="dd/mm/yyyy"/>
    <numFmt numFmtId="170" formatCode="dd/mm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sz val="11"/>
    </font>
    <font>
      <name val="Arial"/>
      <i val="1"/>
      <color rgb="00595959"/>
      <sz val="8"/>
    </font>
    <font>
      <name val="Arial"/>
      <b val="1"/>
      <color rgb="000000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sz val="9"/>
    </font>
    <font>
      <name val="Arial"/>
      <b val="1"/>
      <sz val="10"/>
    </font>
    <font>
      <name val="Arial"/>
      <b val="1"/>
      <color rgb="00595959"/>
      <sz val="8"/>
    </font>
    <font>
      <name val="Arial"/>
      <b val="1"/>
      <color rgb="002F5597"/>
      <sz val="14"/>
    </font>
    <font>
      <name val="Arial"/>
      <b val="1"/>
      <color rgb="00C65911"/>
      <sz val="14"/>
    </font>
    <font>
      <name val="Arial"/>
      <b val="1"/>
      <color rgb="00548235"/>
      <sz val="14"/>
    </font>
    <font>
      <name val="Arial"/>
      <b val="1"/>
      <color rgb="00C00000"/>
      <sz val="14"/>
    </font>
    <font>
      <name val="Arial"/>
      <b val="1"/>
      <color rgb="001F3864"/>
      <sz val="14"/>
    </font>
    <font>
      <name val="Arial"/>
      <color rgb="00595959"/>
      <sz val="8"/>
    </font>
    <font>
      <name val="Arial"/>
      <color rgb="00A6A6A6"/>
      <sz val="8"/>
    </font>
    <font>
      <name val="Arial"/>
      <b val="1"/>
      <color rgb="001F3864"/>
      <sz val="11"/>
    </font>
    <font>
      <name val="Arial"/>
      <b val="1"/>
      <color rgb="001F3864"/>
      <sz val="15"/>
    </font>
    <font>
      <name val="Arial"/>
      <b val="1"/>
      <color rgb="00C00000"/>
      <sz val="15"/>
    </font>
    <font>
      <name val="Arial"/>
      <b val="1"/>
      <color rgb="00548235"/>
      <sz val="15"/>
    </font>
    <font>
      <name val="Arial"/>
      <b val="1"/>
      <color rgb="002F5597"/>
      <sz val="15"/>
    </font>
    <font>
      <name val="Arial"/>
      <sz val="9"/>
    </font>
    <font>
      <name val="Arial"/>
      <b val="1"/>
      <color rgb="000000FF"/>
      <sz val="10"/>
    </font>
    <font>
      <name val="Arial"/>
      <b val="1"/>
      <color rgb="001F3864"/>
      <sz val="9"/>
    </font>
    <font>
      <name val="Arial"/>
      <b val="1"/>
      <color rgb="001F3864"/>
      <sz val="10"/>
    </font>
    <font>
      <name val="Arial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B6B6"/>
      </patternFill>
    </fill>
    <fill>
      <patternFill patternType="solid">
        <fgColor rgb="00F7F9FC"/>
      </patternFill>
    </fill>
    <fill>
      <patternFill patternType="solid">
        <fgColor rgb="00548235"/>
      </patternFill>
    </fill>
  </fills>
  <borders count="1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ck">
        <color rgb="002F5597"/>
      </top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  <border>
      <left style="thin">
        <color rgb="00D9D9D9"/>
      </left>
      <right style="thin">
        <color rgb="00D9D9D9"/>
      </right>
      <top style="thick">
        <color rgb="00C65911"/>
      </top>
    </border>
    <border>
      <left style="thin">
        <color rgb="00D9D9D9"/>
      </left>
      <right style="thin">
        <color rgb="00D9D9D9"/>
      </right>
      <top style="thick">
        <color rgb="00548235"/>
      </top>
    </border>
    <border>
      <left style="thin">
        <color rgb="00D9D9D9"/>
      </left>
      <right style="thin">
        <color rgb="00D9D9D9"/>
      </right>
      <top style="thick">
        <color rgb="00C00000"/>
      </top>
    </border>
    <border>
      <left style="thin">
        <color rgb="00D9D9D9"/>
      </left>
      <right style="thin">
        <color rgb="00D9D9D9"/>
      </right>
      <top style="thick">
        <color rgb="001F3864"/>
      </top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wrapText="1" indent="1"/>
    </xf>
    <xf numFmtId="0" fontId="3" fillId="0" borderId="0" applyAlignment="1" pivotButton="0" quotePrefix="0" xfId="0">
      <alignment horizontal="right"/>
    </xf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0" fontId="4" fillId="0" borderId="0" pivotButton="0" quotePrefix="0" xfId="0"/>
    <xf numFmtId="0" fontId="11" fillId="12" borderId="2" applyAlignment="1" pivotButton="0" quotePrefix="0" xfId="0">
      <alignment horizontal="center" vertical="center" wrapText="1"/>
    </xf>
    <xf numFmtId="0" fontId="0" fillId="12" borderId="2" pivotButton="0" quotePrefix="0" xfId="0"/>
    <xf numFmtId="0" fontId="11" fillId="12" borderId="5" applyAlignment="1" pivotButton="0" quotePrefix="0" xfId="0">
      <alignment horizontal="center" vertical="center" wrapText="1"/>
    </xf>
    <xf numFmtId="0" fontId="0" fillId="12" borderId="5" pivotButton="0" quotePrefix="0" xfId="0"/>
    <xf numFmtId="0" fontId="11" fillId="12" borderId="6" applyAlignment="1" pivotButton="0" quotePrefix="0" xfId="0">
      <alignment horizontal="center" vertical="center" wrapText="1"/>
    </xf>
    <xf numFmtId="0" fontId="0" fillId="12" borderId="6" pivotButton="0" quotePrefix="0" xfId="0"/>
    <xf numFmtId="0" fontId="11" fillId="12" borderId="7" applyAlignment="1" pivotButton="0" quotePrefix="0" xfId="0">
      <alignment horizontal="center" vertical="center" wrapText="1"/>
    </xf>
    <xf numFmtId="0" fontId="0" fillId="12" borderId="7" pivotButton="0" quotePrefix="0" xfId="0"/>
    <xf numFmtId="0" fontId="11" fillId="12" borderId="8" applyAlignment="1" pivotButton="0" quotePrefix="0" xfId="0">
      <alignment horizontal="center" vertical="center" wrapText="1"/>
    </xf>
    <xf numFmtId="0" fontId="0" fillId="12" borderId="8" pivotButton="0" quotePrefix="0" xfId="0"/>
    <xf numFmtId="165" fontId="12" fillId="12" borderId="3" applyAlignment="1" pivotButton="0" quotePrefix="0" xfId="0">
      <alignment horizontal="center" vertical="center" wrapText="1"/>
    </xf>
    <xf numFmtId="0" fontId="0" fillId="12" borderId="3" pivotButton="0" quotePrefix="0" xfId="0"/>
    <xf numFmtId="165" fontId="13" fillId="12" borderId="3" applyAlignment="1" pivotButton="0" quotePrefix="0" xfId="0">
      <alignment horizontal="center" vertical="center" wrapText="1"/>
    </xf>
    <xf numFmtId="165" fontId="14" fillId="12" borderId="3" applyAlignment="1" pivotButton="0" quotePrefix="0" xfId="0">
      <alignment horizontal="center" vertical="center" wrapText="1"/>
    </xf>
    <xf numFmtId="165" fontId="15" fillId="12" borderId="3" applyAlignment="1" pivotButton="0" quotePrefix="0" xfId="0">
      <alignment horizontal="center" vertical="center" wrapText="1"/>
    </xf>
    <xf numFmtId="165" fontId="16" fillId="12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0" fillId="12" borderId="4" pivotButton="0" quotePrefix="0" xfId="0"/>
    <xf numFmtId="0" fontId="0" fillId="12" borderId="4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8" fillId="7" borderId="1" applyProtection="1" pivotButton="0" quotePrefix="0" xfId="0">
      <protection locked="0" hidden="0"/>
    </xf>
    <xf numFmtId="165" fontId="8" fillId="7" borderId="1" applyProtection="1" pivotButton="0" quotePrefix="0" xfId="0">
      <protection locked="0" hidden="0"/>
    </xf>
    <xf numFmtId="0" fontId="8" fillId="7" borderId="1" applyAlignment="1" applyProtection="1" pivotButton="0" quotePrefix="0" xfId="0">
      <alignment horizontal="center"/>
      <protection locked="0" hidden="0"/>
    </xf>
    <xf numFmtId="167" fontId="8" fillId="7" borderId="1" applyAlignment="1" applyProtection="1" pivotButton="0" quotePrefix="0" xfId="0">
      <alignment horizontal="center"/>
      <protection locked="0" hidden="0"/>
    </xf>
    <xf numFmtId="165" fontId="7" fillId="6" borderId="1" pivotButton="0" quotePrefix="0" xfId="0"/>
    <xf numFmtId="167" fontId="7" fillId="6" borderId="1" applyAlignment="1" pivotButton="0" quotePrefix="0" xfId="0">
      <alignment horizontal="center"/>
    </xf>
    <xf numFmtId="0" fontId="9" fillId="8" borderId="1" applyAlignment="1" pivotButton="0" quotePrefix="0" xfId="0">
      <alignment horizontal="right" indent="1"/>
    </xf>
    <xf numFmtId="0" fontId="9" fillId="8" borderId="1" pivotButton="0" quotePrefix="0" xfId="0"/>
    <xf numFmtId="165" fontId="9" fillId="8" borderId="1" pivotButton="0" quotePrefix="0" xfId="0"/>
    <xf numFmtId="0" fontId="9" fillId="9" borderId="1" applyAlignment="1" pivotButton="0" quotePrefix="0" xfId="0">
      <alignment horizontal="right" indent="1"/>
    </xf>
    <xf numFmtId="0" fontId="9" fillId="9" borderId="1" pivotButton="0" quotePrefix="0" xfId="0"/>
    <xf numFmtId="165" fontId="9" fillId="9" borderId="1" pivotButton="0" quotePrefix="0" xfId="0"/>
    <xf numFmtId="0" fontId="9" fillId="10" borderId="1" applyAlignment="1" pivotButton="0" quotePrefix="0" xfId="0">
      <alignment horizontal="right" indent="1"/>
    </xf>
    <xf numFmtId="0" fontId="9" fillId="10" borderId="1" pivotButton="0" quotePrefix="0" xfId="0"/>
    <xf numFmtId="165" fontId="9" fillId="10" borderId="1" pivotButton="0" quotePrefix="0" xfId="0"/>
    <xf numFmtId="0" fontId="10" fillId="11" borderId="1" applyAlignment="1" pivotButton="0" quotePrefix="0" xfId="0">
      <alignment horizontal="right" indent="1"/>
    </xf>
    <xf numFmtId="0" fontId="10" fillId="11" borderId="1" pivotButton="0" quotePrefix="0" xfId="0"/>
    <xf numFmtId="165" fontId="10" fillId="11" borderId="1" pivotButton="0" quotePrefix="0" xfId="0"/>
    <xf numFmtId="0" fontId="10" fillId="3" borderId="1" applyAlignment="1" pivotButton="0" quotePrefix="0" xfId="0">
      <alignment horizontal="right" indent="1"/>
    </xf>
    <xf numFmtId="0" fontId="10" fillId="3" borderId="1" pivotButton="0" quotePrefix="0" xfId="0"/>
    <xf numFmtId="165" fontId="10" fillId="3" borderId="1" pivotButton="0" quotePrefix="0" xfId="0"/>
    <xf numFmtId="0" fontId="9" fillId="3" borderId="1" applyAlignment="1" pivotButton="0" quotePrefix="0" xfId="0">
      <alignment horizontal="right" indent="1"/>
    </xf>
    <xf numFmtId="0" fontId="9" fillId="3" borderId="1" pivotButton="0" quotePrefix="0" xfId="0"/>
    <xf numFmtId="165" fontId="9" fillId="3" borderId="1" pivotButton="0" quotePrefix="0" xfId="0"/>
    <xf numFmtId="0" fontId="9" fillId="7" borderId="1" applyAlignment="1" pivotButton="0" quotePrefix="0" xfId="0">
      <alignment horizontal="right" indent="1"/>
    </xf>
    <xf numFmtId="0" fontId="9" fillId="7" borderId="1" pivotButton="0" quotePrefix="0" xfId="0"/>
    <xf numFmtId="9" fontId="9" fillId="7" borderId="1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168" fontId="5" fillId="3" borderId="1" applyAlignment="1" applyProtection="1" pivotButton="0" quotePrefix="0" xfId="0">
      <alignment horizontal="center"/>
      <protection locked="0" hidden="0"/>
    </xf>
    <xf numFmtId="165" fontId="5" fillId="3" borderId="1" applyAlignment="1" applyProtection="1" pivotButton="0" quotePrefix="0" xfId="0">
      <alignment horizontal="center"/>
      <protection locked="0" hidden="0"/>
    </xf>
    <xf numFmtId="169" fontId="18" fillId="0" borderId="0" pivotButton="0" quotePrefix="0" xfId="0"/>
    <xf numFmtId="165" fontId="20" fillId="12" borderId="3" applyAlignment="1" pivotButton="0" quotePrefix="0" xfId="0">
      <alignment horizontal="center" vertical="center" wrapText="1"/>
    </xf>
    <xf numFmtId="165" fontId="21" fillId="12" borderId="3" applyAlignment="1" pivotButton="0" quotePrefix="0" xfId="0">
      <alignment horizontal="center" vertical="center" wrapText="1"/>
    </xf>
    <xf numFmtId="165" fontId="22" fillId="12" borderId="3" applyAlignment="1" pivotButton="0" quotePrefix="0" xfId="0">
      <alignment horizontal="center" vertical="center" wrapText="1"/>
    </xf>
    <xf numFmtId="165" fontId="23" fillId="12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6" fillId="13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/>
    </xf>
    <xf numFmtId="170" fontId="24" fillId="0" borderId="1" applyAlignment="1" pivotButton="0" quotePrefix="0" xfId="0">
      <alignment horizontal="center"/>
    </xf>
    <xf numFmtId="165" fontId="25" fillId="3" borderId="1" applyAlignment="1" applyProtection="1" pivotButton="0" quotePrefix="0" xfId="0">
      <alignment horizontal="center"/>
      <protection locked="0" hidden="0"/>
    </xf>
    <xf numFmtId="165" fontId="24" fillId="0" borderId="1" applyAlignment="1" pivotButton="0" quotePrefix="0" xfId="0">
      <alignment horizontal="center"/>
    </xf>
    <xf numFmtId="9" fontId="24" fillId="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165" fontId="9" fillId="10" borderId="1" applyAlignment="1" pivotButton="0" quotePrefix="0" xfId="0">
      <alignment horizontal="center"/>
    </xf>
    <xf numFmtId="9" fontId="9" fillId="10" borderId="1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6" fillId="1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0" borderId="11" pivotButton="0" quotePrefix="0" xfId="0"/>
    <xf numFmtId="170" fontId="8" fillId="7" borderId="1" applyProtection="1" pivotButton="0" quotePrefix="0" xfId="0">
      <protection locked="0" hidden="0"/>
    </xf>
    <xf numFmtId="0" fontId="24" fillId="0" borderId="1" pivotButton="0" quotePrefix="0" xfId="0"/>
    <xf numFmtId="165" fontId="24" fillId="0" borderId="1" pivotButton="0" quotePrefix="0" xfId="0"/>
    <xf numFmtId="9" fontId="24" fillId="0" borderId="1" pivotButton="0" quotePrefix="0" xfId="0"/>
    <xf numFmtId="0" fontId="9" fillId="0" borderId="1" pivotButton="0" quotePrefix="0" xfId="0"/>
    <xf numFmtId="165" fontId="9" fillId="0" borderId="1" pivotButton="0" quotePrefix="0" xfId="0"/>
    <xf numFmtId="9" fontId="9" fillId="0" borderId="1" pivotButton="0" quotePrefix="0" xfId="0"/>
    <xf numFmtId="0" fontId="26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27" fillId="0" borderId="0" pivotButton="0" quotePrefix="0" xfId="0"/>
    <xf numFmtId="0" fontId="28" fillId="0" borderId="0" pivotButton="0" quotePrefix="0" xfId="0"/>
  </cellXfs>
  <cellStyles count="1">
    <cellStyle name="Normal" xfId="0" builtinId="0" hidden="0"/>
  </cellStyles>
  <dxfs count="13">
    <dxf>
      <font>
        <b val="1"/>
        <color rgb="001E5631"/>
      </font>
      <fill>
        <patternFill patternType="solid">
          <fgColor rgb="00B6D7A8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ont>
        <b val="1"/>
        <color rgb="001F3864"/>
      </font>
      <fill>
        <patternFill patternType="solid">
          <fgColor rgb="00DDEBF7"/>
        </patternFill>
      </fill>
    </dxf>
    <dxf>
      <font>
        <b val="1"/>
        <color rgb="00843C0C"/>
      </font>
      <fill>
        <patternFill patternType="solid">
          <fgColor rgb="00F8CBAD"/>
        </patternFill>
      </fill>
    </dxf>
    <dxf>
      <font>
        <b val="1"/>
        <color rgb="009C0006"/>
      </font>
      <fill>
        <patternFill patternType="solid">
          <fgColor rgb="00F8D7DA"/>
        </patternFill>
      </fill>
    </dxf>
    <dxf>
      <font>
        <b val="1"/>
      </font>
      <fill>
        <patternFill patternType="solid">
          <fgColor rgb="00EAD1DC"/>
        </patternFill>
      </fill>
    </dxf>
    <dxf>
      <fill>
        <patternFill patternType="solid">
          <fgColor rgb="00FFF9DB"/>
        </patternFill>
      </fill>
    </dxf>
    <dxf>
      <font>
        <b val="1"/>
        <color rgb="00000000"/>
      </font>
      <fill>
        <patternFill patternType="solid">
          <fgColor rgb="00FFC000"/>
        </patternFill>
      </fill>
    </dxf>
    <dxf>
      <font>
        <color rgb="00A6A6A6"/>
      </font>
    </dxf>
    <dxf>
      <font>
        <b val="1"/>
        <color rgb="00C00000"/>
      </font>
      <fill>
        <patternFill patternType="solid">
          <fgColor rgb="00F8D7DA"/>
        </patternFill>
      </fill>
    </dxf>
    <dxf>
      <font>
        <b val="1"/>
        <color rgb="00C00000"/>
      </font>
    </dxf>
    <dxf>
      <font>
        <b val="1"/>
        <color rgb="001E5631"/>
      </font>
      <fill>
        <patternFill patternType="solid">
          <fgColor rgb="00D4EDDA"/>
        </patternFill>
      </fill>
    </dxf>
    <dxf>
      <font>
        <b val="1"/>
        <color rgb="007F6000"/>
      </font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Quanto sai por mês x salário</a:t>
            </a:r>
          </a:p>
        </rich>
      </tx>
    </title>
    <plotArea>
      <barChart>
        <barDir val="col"/>
        <grouping val="stacked"/>
        <ser>
          <idx val="0"/>
          <order val="0"/>
          <tx>
            <v>Fatura do cartão</v>
          </tx>
          <spPr>
            <a:solidFill xmlns:a="http://schemas.openxmlformats.org/drawingml/2006/main">
              <a:srgbClr val="5B7DB1"/>
            </a:solidFill>
            <a:ln xmlns:a="http://schemas.openxmlformats.org/drawingml/2006/main">
              <a:prstDash val="solid"/>
            </a:ln>
          </spPr>
          <cat>
            <numRef>
              <f>'Contas Mensais'!$K$10:$Y$10</f>
            </numRef>
          </cat>
          <val>
            <numRef>
              <f>'Contas Mensais'!$K$52:$Y$52</f>
            </numRef>
          </val>
        </ser>
        <ser>
          <idx val="1"/>
          <order val="1"/>
          <tx>
            <v>Pix / boleto</v>
          </tx>
          <spPr>
            <a:solidFill xmlns:a="http://schemas.openxmlformats.org/drawingml/2006/main">
              <a:srgbClr val="E0A33B"/>
            </a:solidFill>
            <a:ln xmlns:a="http://schemas.openxmlformats.org/drawingml/2006/main">
              <a:prstDash val="solid"/>
            </a:ln>
          </spPr>
          <cat>
            <numRef>
              <f>'Contas Mensais'!$K$10:$Y$10</f>
            </numRef>
          </cat>
          <val>
            <numRef>
              <f>'Contas Mensais'!$K$53:$Y$53</f>
            </numRef>
          </val>
        </ser>
        <ser>
          <idx val="2"/>
          <order val="2"/>
          <tx>
            <v>Caixinha</v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'Contas Mensais'!$K$10:$Y$10</f>
            </numRef>
          </cat>
          <val>
            <numRef>
              <f>'Contas Mensais'!$K$54:$Y$54</f>
            </numRef>
          </val>
        </ser>
        <gapWidth val="150"/>
        <overlap val="100"/>
        <axId val="10"/>
        <axId val="100"/>
      </barChart>
      <lineChart>
        <grouping val="standard"/>
        <ser>
          <idx val="3"/>
          <order val="3"/>
          <tx>
            <v>Salário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'Contas Mensais'!$K$56:$Y$56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61</row>
      <rowOff>0</rowOff>
    </from>
    <ext cx="93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Z59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9" customWidth="1" min="4" max="4"/>
    <col width="13" customWidth="1" min="5" max="5"/>
    <col width="9" customWidth="1" min="6" max="6"/>
    <col width="9" customWidth="1" min="7" max="7"/>
    <col width="11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hidden="1" width="13" customWidth="1" min="26" max="26"/>
  </cols>
  <sheetData>
    <row r="1" ht="30" customHeight="1">
      <c r="A1" s="1" t="inlineStr">
        <is>
          <t>CONTAS MENSAIS — PARCELAS, DÍVIDAS E QUANTO SOBRA DO SALÁRIO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30" customHeight="1">
      <c r="A2" s="3" t="inlineStr">
        <is>
          <t>Cadastre cada conta UMA vez: o que é, a quem, forma de pagamento, valor TOTAL, nº de parcelas e o mês da 1ª parcela (no cartão = mês da fatura). Conta fixa: deixe Parcelas vazio e use o valor mensal. Escolha o mês em B4 para ver a fatura e a sobra daquele mês.</t>
        </is>
      </c>
    </row>
    <row r="4">
      <c r="A4" s="4" t="inlineStr">
        <is>
          <t>MÊS:</t>
        </is>
      </c>
      <c r="B4" s="5">
        <f>$K$10</f>
        <v/>
      </c>
      <c r="D4" s="4" t="inlineStr">
        <is>
          <t>ÚLTIMO SALÁRIO:</t>
        </is>
      </c>
      <c r="E4" s="6" t="n">
        <v>3000</v>
      </c>
      <c r="F4" s="7" t="inlineStr">
        <is>
          <t>◄ atualize todo mês com o salário que caiu</t>
        </is>
      </c>
    </row>
    <row r="6">
      <c r="A6" s="8" t="inlineStr">
        <is>
          <t>FATURA DO CARTÃO</t>
        </is>
      </c>
      <c r="B6" s="9" t="n"/>
      <c r="C6" s="10" t="inlineStr">
        <is>
          <t>PIX / BOLETO</t>
        </is>
      </c>
      <c r="D6" s="11" t="n"/>
      <c r="E6" s="12" t="inlineStr">
        <is>
          <t>CAIXINHA</t>
        </is>
      </c>
      <c r="F6" s="13" t="n"/>
      <c r="G6" s="14" t="inlineStr">
        <is>
          <t>TOTAL DO MÊS</t>
        </is>
      </c>
      <c r="H6" s="15" t="n"/>
      <c r="I6" s="16" t="inlineStr">
        <is>
          <t>SOBRA DO SALÁRIO</t>
        </is>
      </c>
      <c r="J6" s="17" t="n"/>
      <c r="K6" s="16" t="inlineStr">
        <is>
          <t>POR DIA</t>
        </is>
      </c>
      <c r="L6" s="17" t="n"/>
      <c r="M6" s="14" t="inlineStr">
        <is>
          <t>AINDA DEVO (do mês em diante)</t>
        </is>
      </c>
      <c r="N6" s="15" t="n"/>
    </row>
    <row r="7" ht="30" customHeight="1">
      <c r="A7" s="18">
        <f>INDEX(tot,1,MATCH(sel,hdr,0))</f>
        <v/>
      </c>
      <c r="B7" s="19" t="n"/>
      <c r="C7" s="20">
        <f>INDEX(tot,2,MATCH(sel,hdr,0))</f>
        <v/>
      </c>
      <c r="D7" s="19" t="n"/>
      <c r="E7" s="21">
        <f>INDEX(tot,3,MATCH(sel,hdr,0))</f>
        <v/>
      </c>
      <c r="F7" s="19" t="n"/>
      <c r="G7" s="22">
        <f>INDEX(tot,4,MATCH(sel,hdr,0))</f>
        <v/>
      </c>
      <c r="H7" s="19" t="n"/>
      <c r="I7" s="23">
        <f>INDEX(tot,6,MATCH(sel,hdr,0))</f>
        <v/>
      </c>
      <c r="J7" s="19" t="n"/>
      <c r="K7" s="23">
        <f>INDEX(tot,7,MATCH(sel,hdr,0))</f>
        <v/>
      </c>
      <c r="L7" s="19" t="n"/>
      <c r="M7" s="22">
        <f>SUM(Z11:Z50)</f>
        <v/>
      </c>
      <c r="N7" s="19" t="n"/>
    </row>
    <row r="8">
      <c r="A8" s="24">
        <f>TEXT(INDEX(tot,8,MATCH(sel,hdr,0)),"0%")&amp;" do salário"</f>
        <v/>
      </c>
      <c r="B8" s="25" t="n"/>
      <c r="C8" s="24">
        <f>"vence dia 06"</f>
        <v/>
      </c>
      <c r="D8" s="25" t="n"/>
      <c r="E8" s="26" t="n"/>
      <c r="F8" s="25" t="n"/>
      <c r="G8" s="26" t="n"/>
      <c r="H8" s="25" t="n"/>
      <c r="I8" s="24">
        <f>IF(INDEX(tot,6,MATCH(sel,hdr,0))&lt;0,"o mês não fecha","para mercado, transporte, lazer")</f>
        <v/>
      </c>
      <c r="J8" s="25" t="n"/>
      <c r="K8" s="24">
        <f>DAY(DATE(YEAR(sel),MONTH(sel)+1,0))&amp;" dias no mês"</f>
        <v/>
      </c>
      <c r="L8" s="25" t="n"/>
      <c r="M8" s="24">
        <f>COUNTIF(J11:J50,sel)&amp;" parcela(s) terminam neste mês"</f>
        <v/>
      </c>
      <c r="N8" s="25" t="n"/>
    </row>
    <row r="9">
      <c r="K9" s="7" t="inlineStr">
        <is>
          <t>◄ 1º mês da tabela (troque a data em K10 para avançar)</t>
        </is>
      </c>
    </row>
    <row r="10" ht="40" customHeight="1">
      <c r="A10" s="27" t="inlineStr">
        <is>
          <t>STATUS</t>
        </is>
      </c>
      <c r="B10" s="28" t="inlineStr">
        <is>
          <t>GASTO</t>
        </is>
      </c>
      <c r="C10" s="28" t="inlineStr">
        <is>
          <t>A QUEM DEVO</t>
        </is>
      </c>
      <c r="D10" s="28" t="inlineStr">
        <is>
          <t>FORMA</t>
        </is>
      </c>
      <c r="E10" s="28" t="inlineStr">
        <is>
          <t>VALOR TOTAL (fixo: valor mensal)</t>
        </is>
      </c>
      <c r="F10" s="28" t="inlineStr">
        <is>
          <t>PARCELAS (vazio = todo mês)</t>
        </is>
      </c>
      <c r="G10" s="28" t="inlineStr">
        <is>
          <t>1º MÊS</t>
        </is>
      </c>
      <c r="H10" s="27" t="inlineStr">
        <is>
          <t>PARCELA</t>
        </is>
      </c>
      <c r="I10" s="27" t="inlineStr">
        <is>
          <t>FALTA PAGAR</t>
        </is>
      </c>
      <c r="J10" s="27" t="inlineStr">
        <is>
          <t>ÚLTIMA PARCELA</t>
        </is>
      </c>
      <c r="K10" s="29" t="n">
        <v>46296</v>
      </c>
      <c r="L10" s="29">
        <f>DATE(YEAR(K10),MONTH(K10)+1,1)</f>
        <v/>
      </c>
      <c r="M10" s="29">
        <f>DATE(YEAR(L10),MONTH(L10)+1,1)</f>
        <v/>
      </c>
      <c r="N10" s="29">
        <f>DATE(YEAR(M10),MONTH(M10)+1,1)</f>
        <v/>
      </c>
      <c r="O10" s="29">
        <f>DATE(YEAR(N10),MONTH(N10)+1,1)</f>
        <v/>
      </c>
      <c r="P10" s="29">
        <f>DATE(YEAR(O10),MONTH(O10)+1,1)</f>
        <v/>
      </c>
      <c r="Q10" s="29">
        <f>DATE(YEAR(P10),MONTH(P10)+1,1)</f>
        <v/>
      </c>
      <c r="R10" s="29">
        <f>DATE(YEAR(Q10),MONTH(Q10)+1,1)</f>
        <v/>
      </c>
      <c r="S10" s="29">
        <f>DATE(YEAR(R10),MONTH(R10)+1,1)</f>
        <v/>
      </c>
      <c r="T10" s="29">
        <f>DATE(YEAR(S10),MONTH(S10)+1,1)</f>
        <v/>
      </c>
      <c r="U10" s="29">
        <f>DATE(YEAR(T10),MONTH(T10)+1,1)</f>
        <v/>
      </c>
      <c r="V10" s="29">
        <f>DATE(YEAR(U10),MONTH(U10)+1,1)</f>
        <v/>
      </c>
      <c r="W10" s="29">
        <f>DATE(YEAR(V10),MONTH(V10)+1,1)</f>
        <v/>
      </c>
      <c r="X10" s="29">
        <f>DATE(YEAR(W10),MONTH(W10)+1,1)</f>
        <v/>
      </c>
      <c r="Y10" s="29">
        <f>DATE(YEAR(X10),MONTH(X10)+1,1)</f>
        <v/>
      </c>
    </row>
    <row r="11">
      <c r="A11" s="30">
        <f>IF(B11="","",IF(G11="","Falta 1º mês",IF(N(F11)=0,"Fixo",IF(J11&lt;$K$10,"Quitado",IF(J11=sel,"Última parcela","Ativo")))))</f>
        <v/>
      </c>
      <c r="B11" s="31" t="inlineStr">
        <is>
          <t>Aluguel</t>
        </is>
      </c>
      <c r="C11" s="31" t="inlineStr">
        <is>
          <t>Proprietário</t>
        </is>
      </c>
      <c r="D11" s="31" t="inlineStr">
        <is>
          <t>Pix</t>
        </is>
      </c>
      <c r="E11" s="32" t="n">
        <v>900</v>
      </c>
      <c r="F11" s="33" t="n"/>
      <c r="G11" s="34" t="n">
        <v>46296</v>
      </c>
      <c r="H11" s="35">
        <f>IF(OR(B11="",E11=""),"",IF(N(F11)=0,E11,E11/F11))</f>
        <v/>
      </c>
      <c r="I11" s="35">
        <f>IF(J11="",0,H11*MAX(0,(YEAR(J11)*12+MONTH(J11))-MAX((YEAR(G11)*12+MONTH(G11)),(YEAR($K$10)*12+MONTH($K$10)))+1))</f>
        <v/>
      </c>
      <c r="J11" s="36">
        <f>IF(OR(H11="",G11="",N(F11)=0),"",DATE(YEAR(G11),MONTH(G11)+F11-1,1))</f>
        <v/>
      </c>
      <c r="K11" s="35">
        <f>IF(OR($H11="",$G11=""),"",IF(AND(K$10&gt;=$G11,OR(N($F11)=0,K$10&lt;=$J11)),$H11,""))</f>
        <v/>
      </c>
      <c r="L11" s="35">
        <f>IF(OR($H11="",$G11=""),"",IF(AND(L$10&gt;=$G11,OR(N($F11)=0,L$10&lt;=$J11)),$H11,""))</f>
        <v/>
      </c>
      <c r="M11" s="35">
        <f>IF(OR($H11="",$G11=""),"",IF(AND(M$10&gt;=$G11,OR(N($F11)=0,M$10&lt;=$J11)),$H11,""))</f>
        <v/>
      </c>
      <c r="N11" s="35">
        <f>IF(OR($H11="",$G11=""),"",IF(AND(N$10&gt;=$G11,OR(N($F11)=0,N$10&lt;=$J11)),$H11,""))</f>
        <v/>
      </c>
      <c r="O11" s="35">
        <f>IF(OR($H11="",$G11=""),"",IF(AND(O$10&gt;=$G11,OR(N($F11)=0,O$10&lt;=$J11)),$H11,""))</f>
        <v/>
      </c>
      <c r="P11" s="35">
        <f>IF(OR($H11="",$G11=""),"",IF(AND(P$10&gt;=$G11,OR(N($F11)=0,P$10&lt;=$J11)),$H11,""))</f>
        <v/>
      </c>
      <c r="Q11" s="35">
        <f>IF(OR($H11="",$G11=""),"",IF(AND(Q$10&gt;=$G11,OR(N($F11)=0,Q$10&lt;=$J11)),$H11,""))</f>
        <v/>
      </c>
      <c r="R11" s="35">
        <f>IF(OR($H11="",$G11=""),"",IF(AND(R$10&gt;=$G11,OR(N($F11)=0,R$10&lt;=$J11)),$H11,""))</f>
        <v/>
      </c>
      <c r="S11" s="35">
        <f>IF(OR($H11="",$G11=""),"",IF(AND(S$10&gt;=$G11,OR(N($F11)=0,S$10&lt;=$J11)),$H11,""))</f>
        <v/>
      </c>
      <c r="T11" s="35">
        <f>IF(OR($H11="",$G11=""),"",IF(AND(T$10&gt;=$G11,OR(N($F11)=0,T$10&lt;=$J11)),$H11,""))</f>
        <v/>
      </c>
      <c r="U11" s="35">
        <f>IF(OR($H11="",$G11=""),"",IF(AND(U$10&gt;=$G11,OR(N($F11)=0,U$10&lt;=$J11)),$H11,""))</f>
        <v/>
      </c>
      <c r="V11" s="35">
        <f>IF(OR($H11="",$G11=""),"",IF(AND(V$10&gt;=$G11,OR(N($F11)=0,V$10&lt;=$J11)),$H11,""))</f>
        <v/>
      </c>
      <c r="W11" s="35">
        <f>IF(OR($H11="",$G11=""),"",IF(AND(W$10&gt;=$G11,OR(N($F11)=0,W$10&lt;=$J11)),$H11,""))</f>
        <v/>
      </c>
      <c r="X11" s="35">
        <f>IF(OR($H11="",$G11=""),"",IF(AND(X$10&gt;=$G11,OR(N($F11)=0,X$10&lt;=$J11)),$H11,""))</f>
        <v/>
      </c>
      <c r="Y11" s="35">
        <f>IF(OR($H11="",$G11=""),"",IF(AND(Y$10&gt;=$G11,OR(N($F11)=0,Y$10&lt;=$J11)),$H11,""))</f>
        <v/>
      </c>
      <c r="Z11">
        <f>IF(OR(J11="",D11="Caixinha"),0,H11*MAX(0,(YEAR(J11)*12+MONTH(J11))-MAX((YEAR(G11)*12+MONTH(G11)),(YEAR(sel)*12+MONTH(sel)))+1))</f>
        <v/>
      </c>
    </row>
    <row r="12">
      <c r="A12" s="30">
        <f>IF(B12="","",IF(G12="","Falta 1º mês",IF(N(F12)=0,"Fixo",IF(J12&lt;$K$10,"Quitado",IF(J12=sel,"Última parcela","Ativo")))))</f>
        <v/>
      </c>
      <c r="B12" s="31" t="inlineStr">
        <is>
          <t>Streaming de música</t>
        </is>
      </c>
      <c r="C12" s="31" t="inlineStr">
        <is>
          <t>Streaming</t>
        </is>
      </c>
      <c r="D12" s="31" t="inlineStr">
        <is>
          <t>Cartão</t>
        </is>
      </c>
      <c r="E12" s="32" t="n">
        <v>21.9</v>
      </c>
      <c r="F12" s="33" t="n"/>
      <c r="G12" s="34" t="n">
        <v>46296</v>
      </c>
      <c r="H12" s="35">
        <f>IF(OR(B12="",E12=""),"",IF(N(F12)=0,E12,E12/F12))</f>
        <v/>
      </c>
      <c r="I12" s="35">
        <f>IF(J12="",0,H12*MAX(0,(YEAR(J12)*12+MONTH(J12))-MAX((YEAR(G12)*12+MONTH(G12)),(YEAR($K$10)*12+MONTH($K$10)))+1))</f>
        <v/>
      </c>
      <c r="J12" s="36">
        <f>IF(OR(H12="",G12="",N(F12)=0),"",DATE(YEAR(G12),MONTH(G12)+F12-1,1))</f>
        <v/>
      </c>
      <c r="K12" s="35">
        <f>IF(OR($H12="",$G12=""),"",IF(AND(K$10&gt;=$G12,OR(N($F12)=0,K$10&lt;=$J12)),$H12,""))</f>
        <v/>
      </c>
      <c r="L12" s="35">
        <f>IF(OR($H12="",$G12=""),"",IF(AND(L$10&gt;=$G12,OR(N($F12)=0,L$10&lt;=$J12)),$H12,""))</f>
        <v/>
      </c>
      <c r="M12" s="35">
        <f>IF(OR($H12="",$G12=""),"",IF(AND(M$10&gt;=$G12,OR(N($F12)=0,M$10&lt;=$J12)),$H12,""))</f>
        <v/>
      </c>
      <c r="N12" s="35">
        <f>IF(OR($H12="",$G12=""),"",IF(AND(N$10&gt;=$G12,OR(N($F12)=0,N$10&lt;=$J12)),$H12,""))</f>
        <v/>
      </c>
      <c r="O12" s="35">
        <f>IF(OR($H12="",$G12=""),"",IF(AND(O$10&gt;=$G12,OR(N($F12)=0,O$10&lt;=$J12)),$H12,""))</f>
        <v/>
      </c>
      <c r="P12" s="35">
        <f>IF(OR($H12="",$G12=""),"",IF(AND(P$10&gt;=$G12,OR(N($F12)=0,P$10&lt;=$J12)),$H12,""))</f>
        <v/>
      </c>
      <c r="Q12" s="35">
        <f>IF(OR($H12="",$G12=""),"",IF(AND(Q$10&gt;=$G12,OR(N($F12)=0,Q$10&lt;=$J12)),$H12,""))</f>
        <v/>
      </c>
      <c r="R12" s="35">
        <f>IF(OR($H12="",$G12=""),"",IF(AND(R$10&gt;=$G12,OR(N($F12)=0,R$10&lt;=$J12)),$H12,""))</f>
        <v/>
      </c>
      <c r="S12" s="35">
        <f>IF(OR($H12="",$G12=""),"",IF(AND(S$10&gt;=$G12,OR(N($F12)=0,S$10&lt;=$J12)),$H12,""))</f>
        <v/>
      </c>
      <c r="T12" s="35">
        <f>IF(OR($H12="",$G12=""),"",IF(AND(T$10&gt;=$G12,OR(N($F12)=0,T$10&lt;=$J12)),$H12,""))</f>
        <v/>
      </c>
      <c r="U12" s="35">
        <f>IF(OR($H12="",$G12=""),"",IF(AND(U$10&gt;=$G12,OR(N($F12)=0,U$10&lt;=$J12)),$H12,""))</f>
        <v/>
      </c>
      <c r="V12" s="35">
        <f>IF(OR($H12="",$G12=""),"",IF(AND(V$10&gt;=$G12,OR(N($F12)=0,V$10&lt;=$J12)),$H12,""))</f>
        <v/>
      </c>
      <c r="W12" s="35">
        <f>IF(OR($H12="",$G12=""),"",IF(AND(W$10&gt;=$G12,OR(N($F12)=0,W$10&lt;=$J12)),$H12,""))</f>
        <v/>
      </c>
      <c r="X12" s="35">
        <f>IF(OR($H12="",$G12=""),"",IF(AND(X$10&gt;=$G12,OR(N($F12)=0,X$10&lt;=$J12)),$H12,""))</f>
        <v/>
      </c>
      <c r="Y12" s="35">
        <f>IF(OR($H12="",$G12=""),"",IF(AND(Y$10&gt;=$G12,OR(N($F12)=0,Y$10&lt;=$J12)),$H12,""))</f>
        <v/>
      </c>
      <c r="Z12">
        <f>IF(OR(J12="",D12="Caixinha"),0,H12*MAX(0,(YEAR(J12)*12+MONTH(J12))-MAX((YEAR(G12)*12+MONTH(G12)),(YEAR(sel)*12+MONTH(sel)))+1))</f>
        <v/>
      </c>
    </row>
    <row r="13">
      <c r="A13" s="30">
        <f>IF(B13="","",IF(G13="","Falta 1º mês",IF(N(F13)=0,"Fixo",IF(J13&lt;$K$10,"Quitado",IF(J13=sel,"Última parcela","Ativo")))))</f>
        <v/>
      </c>
      <c r="B13" s="31" t="inlineStr">
        <is>
          <t>Academia</t>
        </is>
      </c>
      <c r="C13" s="31" t="inlineStr">
        <is>
          <t>Academia</t>
        </is>
      </c>
      <c r="D13" s="31" t="inlineStr">
        <is>
          <t>Cartão</t>
        </is>
      </c>
      <c r="E13" s="32" t="n">
        <v>99.90000000000001</v>
      </c>
      <c r="F13" s="33" t="n"/>
      <c r="G13" s="34" t="n">
        <v>46296</v>
      </c>
      <c r="H13" s="35">
        <f>IF(OR(B13="",E13=""),"",IF(N(F13)=0,E13,E13/F13))</f>
        <v/>
      </c>
      <c r="I13" s="35">
        <f>IF(J13="",0,H13*MAX(0,(YEAR(J13)*12+MONTH(J13))-MAX((YEAR(G13)*12+MONTH(G13)),(YEAR($K$10)*12+MONTH($K$10)))+1))</f>
        <v/>
      </c>
      <c r="J13" s="36">
        <f>IF(OR(H13="",G13="",N(F13)=0),"",DATE(YEAR(G13),MONTH(G13)+F13-1,1))</f>
        <v/>
      </c>
      <c r="K13" s="35">
        <f>IF(OR($H13="",$G13=""),"",IF(AND(K$10&gt;=$G13,OR(N($F13)=0,K$10&lt;=$J13)),$H13,""))</f>
        <v/>
      </c>
      <c r="L13" s="35">
        <f>IF(OR($H13="",$G13=""),"",IF(AND(L$10&gt;=$G13,OR(N($F13)=0,L$10&lt;=$J13)),$H13,""))</f>
        <v/>
      </c>
      <c r="M13" s="35">
        <f>IF(OR($H13="",$G13=""),"",IF(AND(M$10&gt;=$G13,OR(N($F13)=0,M$10&lt;=$J13)),$H13,""))</f>
        <v/>
      </c>
      <c r="N13" s="35">
        <f>IF(OR($H13="",$G13=""),"",IF(AND(N$10&gt;=$G13,OR(N($F13)=0,N$10&lt;=$J13)),$H13,""))</f>
        <v/>
      </c>
      <c r="O13" s="35">
        <f>IF(OR($H13="",$G13=""),"",IF(AND(O$10&gt;=$G13,OR(N($F13)=0,O$10&lt;=$J13)),$H13,""))</f>
        <v/>
      </c>
      <c r="P13" s="35">
        <f>IF(OR($H13="",$G13=""),"",IF(AND(P$10&gt;=$G13,OR(N($F13)=0,P$10&lt;=$J13)),$H13,""))</f>
        <v/>
      </c>
      <c r="Q13" s="35">
        <f>IF(OR($H13="",$G13=""),"",IF(AND(Q$10&gt;=$G13,OR(N($F13)=0,Q$10&lt;=$J13)),$H13,""))</f>
        <v/>
      </c>
      <c r="R13" s="35">
        <f>IF(OR($H13="",$G13=""),"",IF(AND(R$10&gt;=$G13,OR(N($F13)=0,R$10&lt;=$J13)),$H13,""))</f>
        <v/>
      </c>
      <c r="S13" s="35">
        <f>IF(OR($H13="",$G13=""),"",IF(AND(S$10&gt;=$G13,OR(N($F13)=0,S$10&lt;=$J13)),$H13,""))</f>
        <v/>
      </c>
      <c r="T13" s="35">
        <f>IF(OR($H13="",$G13=""),"",IF(AND(T$10&gt;=$G13,OR(N($F13)=0,T$10&lt;=$J13)),$H13,""))</f>
        <v/>
      </c>
      <c r="U13" s="35">
        <f>IF(OR($H13="",$G13=""),"",IF(AND(U$10&gt;=$G13,OR(N($F13)=0,U$10&lt;=$J13)),$H13,""))</f>
        <v/>
      </c>
      <c r="V13" s="35">
        <f>IF(OR($H13="",$G13=""),"",IF(AND(V$10&gt;=$G13,OR(N($F13)=0,V$10&lt;=$J13)),$H13,""))</f>
        <v/>
      </c>
      <c r="W13" s="35">
        <f>IF(OR($H13="",$G13=""),"",IF(AND(W$10&gt;=$G13,OR(N($F13)=0,W$10&lt;=$J13)),$H13,""))</f>
        <v/>
      </c>
      <c r="X13" s="35">
        <f>IF(OR($H13="",$G13=""),"",IF(AND(X$10&gt;=$G13,OR(N($F13)=0,X$10&lt;=$J13)),$H13,""))</f>
        <v/>
      </c>
      <c r="Y13" s="35">
        <f>IF(OR($H13="",$G13=""),"",IF(AND(Y$10&gt;=$G13,OR(N($F13)=0,Y$10&lt;=$J13)),$H13,""))</f>
        <v/>
      </c>
      <c r="Z13">
        <f>IF(OR(J13="",D13="Caixinha"),0,H13*MAX(0,(YEAR(J13)*12+MONTH(J13))-MAX((YEAR(G13)*12+MONTH(G13)),(YEAR(sel)*12+MONTH(sel)))+1))</f>
        <v/>
      </c>
    </row>
    <row r="14">
      <c r="A14" s="30">
        <f>IF(B14="","",IF(G14="","Falta 1º mês",IF(N(F14)=0,"Fixo",IF(J14&lt;$K$10,"Quitado",IF(J14=sel,"Última parcela","Ativo")))))</f>
        <v/>
      </c>
      <c r="B14" s="31" t="inlineStr">
        <is>
          <t>Celular novo</t>
        </is>
      </c>
      <c r="C14" s="31" t="inlineStr">
        <is>
          <t>Loja X</t>
        </is>
      </c>
      <c r="D14" s="31" t="inlineStr">
        <is>
          <t>Cartão</t>
        </is>
      </c>
      <c r="E14" s="32" t="n">
        <v>1800</v>
      </c>
      <c r="F14" s="33" t="n">
        <v>12</v>
      </c>
      <c r="G14" s="34" t="n">
        <v>46174</v>
      </c>
      <c r="H14" s="35">
        <f>IF(OR(B14="",E14=""),"",IF(N(F14)=0,E14,E14/F14))</f>
        <v/>
      </c>
      <c r="I14" s="35">
        <f>IF(J14="",0,H14*MAX(0,(YEAR(J14)*12+MONTH(J14))-MAX((YEAR(G14)*12+MONTH(G14)),(YEAR($K$10)*12+MONTH($K$10)))+1))</f>
        <v/>
      </c>
      <c r="J14" s="36">
        <f>IF(OR(H14="",G14="",N(F14)=0),"",DATE(YEAR(G14),MONTH(G14)+F14-1,1))</f>
        <v/>
      </c>
      <c r="K14" s="35">
        <f>IF(OR($H14="",$G14=""),"",IF(AND(K$10&gt;=$G14,OR(N($F14)=0,K$10&lt;=$J14)),$H14,""))</f>
        <v/>
      </c>
      <c r="L14" s="35">
        <f>IF(OR($H14="",$G14=""),"",IF(AND(L$10&gt;=$G14,OR(N($F14)=0,L$10&lt;=$J14)),$H14,""))</f>
        <v/>
      </c>
      <c r="M14" s="35">
        <f>IF(OR($H14="",$G14=""),"",IF(AND(M$10&gt;=$G14,OR(N($F14)=0,M$10&lt;=$J14)),$H14,""))</f>
        <v/>
      </c>
      <c r="N14" s="35">
        <f>IF(OR($H14="",$G14=""),"",IF(AND(N$10&gt;=$G14,OR(N($F14)=0,N$10&lt;=$J14)),$H14,""))</f>
        <v/>
      </c>
      <c r="O14" s="35">
        <f>IF(OR($H14="",$G14=""),"",IF(AND(O$10&gt;=$G14,OR(N($F14)=0,O$10&lt;=$J14)),$H14,""))</f>
        <v/>
      </c>
      <c r="P14" s="35">
        <f>IF(OR($H14="",$G14=""),"",IF(AND(P$10&gt;=$G14,OR(N($F14)=0,P$10&lt;=$J14)),$H14,""))</f>
        <v/>
      </c>
      <c r="Q14" s="35">
        <f>IF(OR($H14="",$G14=""),"",IF(AND(Q$10&gt;=$G14,OR(N($F14)=0,Q$10&lt;=$J14)),$H14,""))</f>
        <v/>
      </c>
      <c r="R14" s="35">
        <f>IF(OR($H14="",$G14=""),"",IF(AND(R$10&gt;=$G14,OR(N($F14)=0,R$10&lt;=$J14)),$H14,""))</f>
        <v/>
      </c>
      <c r="S14" s="35">
        <f>IF(OR($H14="",$G14=""),"",IF(AND(S$10&gt;=$G14,OR(N($F14)=0,S$10&lt;=$J14)),$H14,""))</f>
        <v/>
      </c>
      <c r="T14" s="35">
        <f>IF(OR($H14="",$G14=""),"",IF(AND(T$10&gt;=$G14,OR(N($F14)=0,T$10&lt;=$J14)),$H14,""))</f>
        <v/>
      </c>
      <c r="U14" s="35">
        <f>IF(OR($H14="",$G14=""),"",IF(AND(U$10&gt;=$G14,OR(N($F14)=0,U$10&lt;=$J14)),$H14,""))</f>
        <v/>
      </c>
      <c r="V14" s="35">
        <f>IF(OR($H14="",$G14=""),"",IF(AND(V$10&gt;=$G14,OR(N($F14)=0,V$10&lt;=$J14)),$H14,""))</f>
        <v/>
      </c>
      <c r="W14" s="35">
        <f>IF(OR($H14="",$G14=""),"",IF(AND(W$10&gt;=$G14,OR(N($F14)=0,W$10&lt;=$J14)),$H14,""))</f>
        <v/>
      </c>
      <c r="X14" s="35">
        <f>IF(OR($H14="",$G14=""),"",IF(AND(X$10&gt;=$G14,OR(N($F14)=0,X$10&lt;=$J14)),$H14,""))</f>
        <v/>
      </c>
      <c r="Y14" s="35">
        <f>IF(OR($H14="",$G14=""),"",IF(AND(Y$10&gt;=$G14,OR(N($F14)=0,Y$10&lt;=$J14)),$H14,""))</f>
        <v/>
      </c>
      <c r="Z14">
        <f>IF(OR(J14="",D14="Caixinha"),0,H14*MAX(0,(YEAR(J14)*12+MONTH(J14))-MAX((YEAR(G14)*12+MONTH(G14)),(YEAR(sel)*12+MONTH(sel)))+1))</f>
        <v/>
      </c>
    </row>
    <row r="15">
      <c r="A15" s="30">
        <f>IF(B15="","",IF(G15="","Falta 1º mês",IF(N(F15)=0,"Fixo",IF(J15&lt;$K$10,"Quitado",IF(J15=sel,"Última parcela","Ativo")))))</f>
        <v/>
      </c>
      <c r="B15" s="31" t="inlineStr">
        <is>
          <t>Curso online</t>
        </is>
      </c>
      <c r="C15" s="31" t="inlineStr">
        <is>
          <t>Escola Y</t>
        </is>
      </c>
      <c r="D15" s="31" t="inlineStr">
        <is>
          <t>Cartão</t>
        </is>
      </c>
      <c r="E15" s="32" t="n">
        <v>600</v>
      </c>
      <c r="F15" s="33" t="n">
        <v>6</v>
      </c>
      <c r="G15" s="34" t="n">
        <v>46235</v>
      </c>
      <c r="H15" s="35">
        <f>IF(OR(B15="",E15=""),"",IF(N(F15)=0,E15,E15/F15))</f>
        <v/>
      </c>
      <c r="I15" s="35">
        <f>IF(J15="",0,H15*MAX(0,(YEAR(J15)*12+MONTH(J15))-MAX((YEAR(G15)*12+MONTH(G15)),(YEAR($K$10)*12+MONTH($K$10)))+1))</f>
        <v/>
      </c>
      <c r="J15" s="36">
        <f>IF(OR(H15="",G15="",N(F15)=0),"",DATE(YEAR(G15),MONTH(G15)+F15-1,1))</f>
        <v/>
      </c>
      <c r="K15" s="35">
        <f>IF(OR($H15="",$G15=""),"",IF(AND(K$10&gt;=$G15,OR(N($F15)=0,K$10&lt;=$J15)),$H15,""))</f>
        <v/>
      </c>
      <c r="L15" s="35">
        <f>IF(OR($H15="",$G15=""),"",IF(AND(L$10&gt;=$G15,OR(N($F15)=0,L$10&lt;=$J15)),$H15,""))</f>
        <v/>
      </c>
      <c r="M15" s="35">
        <f>IF(OR($H15="",$G15=""),"",IF(AND(M$10&gt;=$G15,OR(N($F15)=0,M$10&lt;=$J15)),$H15,""))</f>
        <v/>
      </c>
      <c r="N15" s="35">
        <f>IF(OR($H15="",$G15=""),"",IF(AND(N$10&gt;=$G15,OR(N($F15)=0,N$10&lt;=$J15)),$H15,""))</f>
        <v/>
      </c>
      <c r="O15" s="35">
        <f>IF(OR($H15="",$G15=""),"",IF(AND(O$10&gt;=$G15,OR(N($F15)=0,O$10&lt;=$J15)),$H15,""))</f>
        <v/>
      </c>
      <c r="P15" s="35">
        <f>IF(OR($H15="",$G15=""),"",IF(AND(P$10&gt;=$G15,OR(N($F15)=0,P$10&lt;=$J15)),$H15,""))</f>
        <v/>
      </c>
      <c r="Q15" s="35">
        <f>IF(OR($H15="",$G15=""),"",IF(AND(Q$10&gt;=$G15,OR(N($F15)=0,Q$10&lt;=$J15)),$H15,""))</f>
        <v/>
      </c>
      <c r="R15" s="35">
        <f>IF(OR($H15="",$G15=""),"",IF(AND(R$10&gt;=$G15,OR(N($F15)=0,R$10&lt;=$J15)),$H15,""))</f>
        <v/>
      </c>
      <c r="S15" s="35">
        <f>IF(OR($H15="",$G15=""),"",IF(AND(S$10&gt;=$G15,OR(N($F15)=0,S$10&lt;=$J15)),$H15,""))</f>
        <v/>
      </c>
      <c r="T15" s="35">
        <f>IF(OR($H15="",$G15=""),"",IF(AND(T$10&gt;=$G15,OR(N($F15)=0,T$10&lt;=$J15)),$H15,""))</f>
        <v/>
      </c>
      <c r="U15" s="35">
        <f>IF(OR($H15="",$G15=""),"",IF(AND(U$10&gt;=$G15,OR(N($F15)=0,U$10&lt;=$J15)),$H15,""))</f>
        <v/>
      </c>
      <c r="V15" s="35">
        <f>IF(OR($H15="",$G15=""),"",IF(AND(V$10&gt;=$G15,OR(N($F15)=0,V$10&lt;=$J15)),$H15,""))</f>
        <v/>
      </c>
      <c r="W15" s="35">
        <f>IF(OR($H15="",$G15=""),"",IF(AND(W$10&gt;=$G15,OR(N($F15)=0,W$10&lt;=$J15)),$H15,""))</f>
        <v/>
      </c>
      <c r="X15" s="35">
        <f>IF(OR($H15="",$G15=""),"",IF(AND(X$10&gt;=$G15,OR(N($F15)=0,X$10&lt;=$J15)),$H15,""))</f>
        <v/>
      </c>
      <c r="Y15" s="35">
        <f>IF(OR($H15="",$G15=""),"",IF(AND(Y$10&gt;=$G15,OR(N($F15)=0,Y$10&lt;=$J15)),$H15,""))</f>
        <v/>
      </c>
      <c r="Z15">
        <f>IF(OR(J15="",D15="Caixinha"),0,H15*MAX(0,(YEAR(J15)*12+MONTH(J15))-MAX((YEAR(G15)*12+MONTH(G15)),(YEAR(sel)*12+MONTH(sel)))+1))</f>
        <v/>
      </c>
    </row>
    <row r="16">
      <c r="A16" s="30">
        <f>IF(B16="","",IF(G16="","Falta 1º mês",IF(N(F16)=0,"Fixo",IF(J16&lt;$K$10,"Quitado",IF(J16=sel,"Última parcela","Ativo")))))</f>
        <v/>
      </c>
      <c r="B16" s="31" t="inlineStr">
        <is>
          <t>Roupas</t>
        </is>
      </c>
      <c r="C16" s="31" t="inlineStr">
        <is>
          <t>Loja Z</t>
        </is>
      </c>
      <c r="D16" s="31" t="inlineStr">
        <is>
          <t>Cartão</t>
        </is>
      </c>
      <c r="E16" s="32" t="n">
        <v>300</v>
      </c>
      <c r="F16" s="33" t="n">
        <v>3</v>
      </c>
      <c r="G16" s="34" t="n">
        <v>46296</v>
      </c>
      <c r="H16" s="35">
        <f>IF(OR(B16="",E16=""),"",IF(N(F16)=0,E16,E16/F16))</f>
        <v/>
      </c>
      <c r="I16" s="35">
        <f>IF(J16="",0,H16*MAX(0,(YEAR(J16)*12+MONTH(J16))-MAX((YEAR(G16)*12+MONTH(G16)),(YEAR($K$10)*12+MONTH($K$10)))+1))</f>
        <v/>
      </c>
      <c r="J16" s="36">
        <f>IF(OR(H16="",G16="",N(F16)=0),"",DATE(YEAR(G16),MONTH(G16)+F16-1,1))</f>
        <v/>
      </c>
      <c r="K16" s="35">
        <f>IF(OR($H16="",$G16=""),"",IF(AND(K$10&gt;=$G16,OR(N($F16)=0,K$10&lt;=$J16)),$H16,""))</f>
        <v/>
      </c>
      <c r="L16" s="35">
        <f>IF(OR($H16="",$G16=""),"",IF(AND(L$10&gt;=$G16,OR(N($F16)=0,L$10&lt;=$J16)),$H16,""))</f>
        <v/>
      </c>
      <c r="M16" s="35">
        <f>IF(OR($H16="",$G16=""),"",IF(AND(M$10&gt;=$G16,OR(N($F16)=0,M$10&lt;=$J16)),$H16,""))</f>
        <v/>
      </c>
      <c r="N16" s="35">
        <f>IF(OR($H16="",$G16=""),"",IF(AND(N$10&gt;=$G16,OR(N($F16)=0,N$10&lt;=$J16)),$H16,""))</f>
        <v/>
      </c>
      <c r="O16" s="35">
        <f>IF(OR($H16="",$G16=""),"",IF(AND(O$10&gt;=$G16,OR(N($F16)=0,O$10&lt;=$J16)),$H16,""))</f>
        <v/>
      </c>
      <c r="P16" s="35">
        <f>IF(OR($H16="",$G16=""),"",IF(AND(P$10&gt;=$G16,OR(N($F16)=0,P$10&lt;=$J16)),$H16,""))</f>
        <v/>
      </c>
      <c r="Q16" s="35">
        <f>IF(OR($H16="",$G16=""),"",IF(AND(Q$10&gt;=$G16,OR(N($F16)=0,Q$10&lt;=$J16)),$H16,""))</f>
        <v/>
      </c>
      <c r="R16" s="35">
        <f>IF(OR($H16="",$G16=""),"",IF(AND(R$10&gt;=$G16,OR(N($F16)=0,R$10&lt;=$J16)),$H16,""))</f>
        <v/>
      </c>
      <c r="S16" s="35">
        <f>IF(OR($H16="",$G16=""),"",IF(AND(S$10&gt;=$G16,OR(N($F16)=0,S$10&lt;=$J16)),$H16,""))</f>
        <v/>
      </c>
      <c r="T16" s="35">
        <f>IF(OR($H16="",$G16=""),"",IF(AND(T$10&gt;=$G16,OR(N($F16)=0,T$10&lt;=$J16)),$H16,""))</f>
        <v/>
      </c>
      <c r="U16" s="35">
        <f>IF(OR($H16="",$G16=""),"",IF(AND(U$10&gt;=$G16,OR(N($F16)=0,U$10&lt;=$J16)),$H16,""))</f>
        <v/>
      </c>
      <c r="V16" s="35">
        <f>IF(OR($H16="",$G16=""),"",IF(AND(V$10&gt;=$G16,OR(N($F16)=0,V$10&lt;=$J16)),$H16,""))</f>
        <v/>
      </c>
      <c r="W16" s="35">
        <f>IF(OR($H16="",$G16=""),"",IF(AND(W$10&gt;=$G16,OR(N($F16)=0,W$10&lt;=$J16)),$H16,""))</f>
        <v/>
      </c>
      <c r="X16" s="35">
        <f>IF(OR($H16="",$G16=""),"",IF(AND(X$10&gt;=$G16,OR(N($F16)=0,X$10&lt;=$J16)),$H16,""))</f>
        <v/>
      </c>
      <c r="Y16" s="35">
        <f>IF(OR($H16="",$G16=""),"",IF(AND(Y$10&gt;=$G16,OR(N($F16)=0,Y$10&lt;=$J16)),$H16,""))</f>
        <v/>
      </c>
      <c r="Z16">
        <f>IF(OR(J16="",D16="Caixinha"),0,H16*MAX(0,(YEAR(J16)*12+MONTH(J16))-MAX((YEAR(G16)*12+MONTH(G16)),(YEAR(sel)*12+MONTH(sel)))+1))</f>
        <v/>
      </c>
    </row>
    <row r="17">
      <c r="A17" s="30">
        <f>IF(B17="","",IF(G17="","Falta 1º mês",IF(N(F17)=0,"Fixo",IF(J17&lt;$K$10,"Quitado",IF(J17=sel,"Última parcela","Ativo")))))</f>
        <v/>
      </c>
      <c r="B17" s="31" t="inlineStr">
        <is>
          <t>Empréstimo de um amigo</t>
        </is>
      </c>
      <c r="C17" s="31" t="inlineStr">
        <is>
          <t>Amigo</t>
        </is>
      </c>
      <c r="D17" s="31" t="inlineStr">
        <is>
          <t>Pix</t>
        </is>
      </c>
      <c r="E17" s="32" t="n">
        <v>400</v>
      </c>
      <c r="F17" s="33" t="n">
        <v>4</v>
      </c>
      <c r="G17" s="34" t="n">
        <v>46296</v>
      </c>
      <c r="H17" s="35">
        <f>IF(OR(B17="",E17=""),"",IF(N(F17)=0,E17,E17/F17))</f>
        <v/>
      </c>
      <c r="I17" s="35">
        <f>IF(J17="",0,H17*MAX(0,(YEAR(J17)*12+MONTH(J17))-MAX((YEAR(G17)*12+MONTH(G17)),(YEAR($K$10)*12+MONTH($K$10)))+1))</f>
        <v/>
      </c>
      <c r="J17" s="36">
        <f>IF(OR(H17="",G17="",N(F17)=0),"",DATE(YEAR(G17),MONTH(G17)+F17-1,1))</f>
        <v/>
      </c>
      <c r="K17" s="35">
        <f>IF(OR($H17="",$G17=""),"",IF(AND(K$10&gt;=$G17,OR(N($F17)=0,K$10&lt;=$J17)),$H17,""))</f>
        <v/>
      </c>
      <c r="L17" s="35">
        <f>IF(OR($H17="",$G17=""),"",IF(AND(L$10&gt;=$G17,OR(N($F17)=0,L$10&lt;=$J17)),$H17,""))</f>
        <v/>
      </c>
      <c r="M17" s="35">
        <f>IF(OR($H17="",$G17=""),"",IF(AND(M$10&gt;=$G17,OR(N($F17)=0,M$10&lt;=$J17)),$H17,""))</f>
        <v/>
      </c>
      <c r="N17" s="35">
        <f>IF(OR($H17="",$G17=""),"",IF(AND(N$10&gt;=$G17,OR(N($F17)=0,N$10&lt;=$J17)),$H17,""))</f>
        <v/>
      </c>
      <c r="O17" s="35">
        <f>IF(OR($H17="",$G17=""),"",IF(AND(O$10&gt;=$G17,OR(N($F17)=0,O$10&lt;=$J17)),$H17,""))</f>
        <v/>
      </c>
      <c r="P17" s="35">
        <f>IF(OR($H17="",$G17=""),"",IF(AND(P$10&gt;=$G17,OR(N($F17)=0,P$10&lt;=$J17)),$H17,""))</f>
        <v/>
      </c>
      <c r="Q17" s="35">
        <f>IF(OR($H17="",$G17=""),"",IF(AND(Q$10&gt;=$G17,OR(N($F17)=0,Q$10&lt;=$J17)),$H17,""))</f>
        <v/>
      </c>
      <c r="R17" s="35">
        <f>IF(OR($H17="",$G17=""),"",IF(AND(R$10&gt;=$G17,OR(N($F17)=0,R$10&lt;=$J17)),$H17,""))</f>
        <v/>
      </c>
      <c r="S17" s="35">
        <f>IF(OR($H17="",$G17=""),"",IF(AND(S$10&gt;=$G17,OR(N($F17)=0,S$10&lt;=$J17)),$H17,""))</f>
        <v/>
      </c>
      <c r="T17" s="35">
        <f>IF(OR($H17="",$G17=""),"",IF(AND(T$10&gt;=$G17,OR(N($F17)=0,T$10&lt;=$J17)),$H17,""))</f>
        <v/>
      </c>
      <c r="U17" s="35">
        <f>IF(OR($H17="",$G17=""),"",IF(AND(U$10&gt;=$G17,OR(N($F17)=0,U$10&lt;=$J17)),$H17,""))</f>
        <v/>
      </c>
      <c r="V17" s="35">
        <f>IF(OR($H17="",$G17=""),"",IF(AND(V$10&gt;=$G17,OR(N($F17)=0,V$10&lt;=$J17)),$H17,""))</f>
        <v/>
      </c>
      <c r="W17" s="35">
        <f>IF(OR($H17="",$G17=""),"",IF(AND(W$10&gt;=$G17,OR(N($F17)=0,W$10&lt;=$J17)),$H17,""))</f>
        <v/>
      </c>
      <c r="X17" s="35">
        <f>IF(OR($H17="",$G17=""),"",IF(AND(X$10&gt;=$G17,OR(N($F17)=0,X$10&lt;=$J17)),$H17,""))</f>
        <v/>
      </c>
      <c r="Y17" s="35">
        <f>IF(OR($H17="",$G17=""),"",IF(AND(Y$10&gt;=$G17,OR(N($F17)=0,Y$10&lt;=$J17)),$H17,""))</f>
        <v/>
      </c>
      <c r="Z17">
        <f>IF(OR(J17="",D17="Caixinha"),0,H17*MAX(0,(YEAR(J17)*12+MONTH(J17))-MAX((YEAR(G17)*12+MONTH(G17)),(YEAR(sel)*12+MONTH(sel)))+1))</f>
        <v/>
      </c>
    </row>
    <row r="18">
      <c r="A18" s="30">
        <f>IF(B18="","",IF(G18="","Falta 1º mês",IF(N(F18)=0,"Fixo",IF(J18&lt;$K$10,"Quitado",IF(J18=sel,"Última parcela","Ativo")))))</f>
        <v/>
      </c>
      <c r="B18" s="31" t="inlineStr">
        <is>
          <t>Viagem de fim de ano</t>
        </is>
      </c>
      <c r="C18" s="31" t="inlineStr">
        <is>
          <t>Caixinha</t>
        </is>
      </c>
      <c r="D18" s="31" t="inlineStr">
        <is>
          <t>Caixinha</t>
        </is>
      </c>
      <c r="E18" s="32" t="n">
        <v>600</v>
      </c>
      <c r="F18" s="33" t="n">
        <v>3</v>
      </c>
      <c r="G18" s="34" t="n">
        <v>46296</v>
      </c>
      <c r="H18" s="35">
        <f>IF(OR(B18="",E18=""),"",IF(N(F18)=0,E18,E18/F18))</f>
        <v/>
      </c>
      <c r="I18" s="35">
        <f>IF(J18="",0,H18*MAX(0,(YEAR(J18)*12+MONTH(J18))-MAX((YEAR(G18)*12+MONTH(G18)),(YEAR($K$10)*12+MONTH($K$10)))+1))</f>
        <v/>
      </c>
      <c r="J18" s="36">
        <f>IF(OR(H18="",G18="",N(F18)=0),"",DATE(YEAR(G18),MONTH(G18)+F18-1,1))</f>
        <v/>
      </c>
      <c r="K18" s="35">
        <f>IF(OR($H18="",$G18=""),"",IF(AND(K$10&gt;=$G18,OR(N($F18)=0,K$10&lt;=$J18)),$H18,""))</f>
        <v/>
      </c>
      <c r="L18" s="35">
        <f>IF(OR($H18="",$G18=""),"",IF(AND(L$10&gt;=$G18,OR(N($F18)=0,L$10&lt;=$J18)),$H18,""))</f>
        <v/>
      </c>
      <c r="M18" s="35">
        <f>IF(OR($H18="",$G18=""),"",IF(AND(M$10&gt;=$G18,OR(N($F18)=0,M$10&lt;=$J18)),$H18,""))</f>
        <v/>
      </c>
      <c r="N18" s="35">
        <f>IF(OR($H18="",$G18=""),"",IF(AND(N$10&gt;=$G18,OR(N($F18)=0,N$10&lt;=$J18)),$H18,""))</f>
        <v/>
      </c>
      <c r="O18" s="35">
        <f>IF(OR($H18="",$G18=""),"",IF(AND(O$10&gt;=$G18,OR(N($F18)=0,O$10&lt;=$J18)),$H18,""))</f>
        <v/>
      </c>
      <c r="P18" s="35">
        <f>IF(OR($H18="",$G18=""),"",IF(AND(P$10&gt;=$G18,OR(N($F18)=0,P$10&lt;=$J18)),$H18,""))</f>
        <v/>
      </c>
      <c r="Q18" s="35">
        <f>IF(OR($H18="",$G18=""),"",IF(AND(Q$10&gt;=$G18,OR(N($F18)=0,Q$10&lt;=$J18)),$H18,""))</f>
        <v/>
      </c>
      <c r="R18" s="35">
        <f>IF(OR($H18="",$G18=""),"",IF(AND(R$10&gt;=$G18,OR(N($F18)=0,R$10&lt;=$J18)),$H18,""))</f>
        <v/>
      </c>
      <c r="S18" s="35">
        <f>IF(OR($H18="",$G18=""),"",IF(AND(S$10&gt;=$G18,OR(N($F18)=0,S$10&lt;=$J18)),$H18,""))</f>
        <v/>
      </c>
      <c r="T18" s="35">
        <f>IF(OR($H18="",$G18=""),"",IF(AND(T$10&gt;=$G18,OR(N($F18)=0,T$10&lt;=$J18)),$H18,""))</f>
        <v/>
      </c>
      <c r="U18" s="35">
        <f>IF(OR($H18="",$G18=""),"",IF(AND(U$10&gt;=$G18,OR(N($F18)=0,U$10&lt;=$J18)),$H18,""))</f>
        <v/>
      </c>
      <c r="V18" s="35">
        <f>IF(OR($H18="",$G18=""),"",IF(AND(V$10&gt;=$G18,OR(N($F18)=0,V$10&lt;=$J18)),$H18,""))</f>
        <v/>
      </c>
      <c r="W18" s="35">
        <f>IF(OR($H18="",$G18=""),"",IF(AND(W$10&gt;=$G18,OR(N($F18)=0,W$10&lt;=$J18)),$H18,""))</f>
        <v/>
      </c>
      <c r="X18" s="35">
        <f>IF(OR($H18="",$G18=""),"",IF(AND(X$10&gt;=$G18,OR(N($F18)=0,X$10&lt;=$J18)),$H18,""))</f>
        <v/>
      </c>
      <c r="Y18" s="35">
        <f>IF(OR($H18="",$G18=""),"",IF(AND(Y$10&gt;=$G18,OR(N($F18)=0,Y$10&lt;=$J18)),$H18,""))</f>
        <v/>
      </c>
      <c r="Z18">
        <f>IF(OR(J18="",D18="Caixinha"),0,H18*MAX(0,(YEAR(J18)*12+MONTH(J18))-MAX((YEAR(G18)*12+MONTH(G18)),(YEAR(sel)*12+MONTH(sel)))+1))</f>
        <v/>
      </c>
    </row>
    <row r="19">
      <c r="A19" s="30">
        <f>IF(B19="","",IF(G19="","Falta 1º mês",IF(N(F19)=0,"Fixo",IF(J19&lt;$K$10,"Quitado",IF(J19=sel,"Última parcela","Ativo")))))</f>
        <v/>
      </c>
      <c r="B19" s="31" t="inlineStr">
        <is>
          <t>Gastos do mês no cartão (aba Gastos do Mês)</t>
        </is>
      </c>
      <c r="C19" s="31" t="inlineStr">
        <is>
          <t>Cartão de crédito</t>
        </is>
      </c>
      <c r="D19" s="31" t="inlineStr">
        <is>
          <t>Cartão</t>
        </is>
      </c>
      <c r="E19" s="32">
        <f>SUMIFS('Gastos do Mês'!$F$26:$F$225,'Gastos do Mês'!$E$26:$E$225,"Cartão",'Gastos do Mês'!$B$26:$B$225,"&gt;="&amp;gm_Mes,'Gastos do Mês'!$B$26:$B$225,"&lt;="&amp;gm_Fim)</f>
        <v/>
      </c>
      <c r="F19" s="33" t="n">
        <v>1</v>
      </c>
      <c r="G19" s="34">
        <f>DATE(YEAR(gm_Mes),MONTH(gm_Mes)+1,1)</f>
        <v/>
      </c>
      <c r="H19" s="35">
        <f>IF(OR(B19="",E19=""),"",IF(N(F19)=0,E19,E19/F19))</f>
        <v/>
      </c>
      <c r="I19" s="35">
        <f>IF(J19="",0,H19*MAX(0,(YEAR(J19)*12+MONTH(J19))-MAX((YEAR(G19)*12+MONTH(G19)),(YEAR($K$10)*12+MONTH($K$10)))+1))</f>
        <v/>
      </c>
      <c r="J19" s="36">
        <f>IF(OR(H19="",G19="",N(F19)=0),"",DATE(YEAR(G19),MONTH(G19)+F19-1,1))</f>
        <v/>
      </c>
      <c r="K19" s="35">
        <f>IF(OR($H19="",$G19=""),"",IF(AND(K$10&gt;=$G19,OR(N($F19)=0,K$10&lt;=$J19)),$H19,""))</f>
        <v/>
      </c>
      <c r="L19" s="35">
        <f>IF(OR($H19="",$G19=""),"",IF(AND(L$10&gt;=$G19,OR(N($F19)=0,L$10&lt;=$J19)),$H19,""))</f>
        <v/>
      </c>
      <c r="M19" s="35">
        <f>IF(OR($H19="",$G19=""),"",IF(AND(M$10&gt;=$G19,OR(N($F19)=0,M$10&lt;=$J19)),$H19,""))</f>
        <v/>
      </c>
      <c r="N19" s="35">
        <f>IF(OR($H19="",$G19=""),"",IF(AND(N$10&gt;=$G19,OR(N($F19)=0,N$10&lt;=$J19)),$H19,""))</f>
        <v/>
      </c>
      <c r="O19" s="35">
        <f>IF(OR($H19="",$G19=""),"",IF(AND(O$10&gt;=$G19,OR(N($F19)=0,O$10&lt;=$J19)),$H19,""))</f>
        <v/>
      </c>
      <c r="P19" s="35">
        <f>IF(OR($H19="",$G19=""),"",IF(AND(P$10&gt;=$G19,OR(N($F19)=0,P$10&lt;=$J19)),$H19,""))</f>
        <v/>
      </c>
      <c r="Q19" s="35">
        <f>IF(OR($H19="",$G19=""),"",IF(AND(Q$10&gt;=$G19,OR(N($F19)=0,Q$10&lt;=$J19)),$H19,""))</f>
        <v/>
      </c>
      <c r="R19" s="35">
        <f>IF(OR($H19="",$G19=""),"",IF(AND(R$10&gt;=$G19,OR(N($F19)=0,R$10&lt;=$J19)),$H19,""))</f>
        <v/>
      </c>
      <c r="S19" s="35">
        <f>IF(OR($H19="",$G19=""),"",IF(AND(S$10&gt;=$G19,OR(N($F19)=0,S$10&lt;=$J19)),$H19,""))</f>
        <v/>
      </c>
      <c r="T19" s="35">
        <f>IF(OR($H19="",$G19=""),"",IF(AND(T$10&gt;=$G19,OR(N($F19)=0,T$10&lt;=$J19)),$H19,""))</f>
        <v/>
      </c>
      <c r="U19" s="35">
        <f>IF(OR($H19="",$G19=""),"",IF(AND(U$10&gt;=$G19,OR(N($F19)=0,U$10&lt;=$J19)),$H19,""))</f>
        <v/>
      </c>
      <c r="V19" s="35">
        <f>IF(OR($H19="",$G19=""),"",IF(AND(V$10&gt;=$G19,OR(N($F19)=0,V$10&lt;=$J19)),$H19,""))</f>
        <v/>
      </c>
      <c r="W19" s="35">
        <f>IF(OR($H19="",$G19=""),"",IF(AND(W$10&gt;=$G19,OR(N($F19)=0,W$10&lt;=$J19)),$H19,""))</f>
        <v/>
      </c>
      <c r="X19" s="35">
        <f>IF(OR($H19="",$G19=""),"",IF(AND(X$10&gt;=$G19,OR(N($F19)=0,X$10&lt;=$J19)),$H19,""))</f>
        <v/>
      </c>
      <c r="Y19" s="35">
        <f>IF(OR($H19="",$G19=""),"",IF(AND(Y$10&gt;=$G19,OR(N($F19)=0,Y$10&lt;=$J19)),$H19,""))</f>
        <v/>
      </c>
      <c r="Z19">
        <f>IF(OR(J19="",D19="Caixinha"),0,H19*MAX(0,(YEAR(J19)*12+MONTH(J19))-MAX((YEAR(G19)*12+MONTH(G19)),(YEAR(sel)*12+MONTH(sel)))+1))</f>
        <v/>
      </c>
    </row>
    <row r="20">
      <c r="A20" s="30">
        <f>IF(B20="","",IF(G20="","Falta 1º mês",IF(N(F20)=0,"Fixo",IF(J20&lt;$K$10,"Quitado",IF(J20=sel,"Última parcela","Ativo")))))</f>
        <v/>
      </c>
      <c r="B20" s="31" t="n"/>
      <c r="C20" s="31" t="n"/>
      <c r="D20" s="31" t="n"/>
      <c r="E20" s="32" t="n"/>
      <c r="F20" s="33" t="n"/>
      <c r="G20" s="34" t="n"/>
      <c r="H20" s="35">
        <f>IF(OR(B20="",E20=""),"",IF(N(F20)=0,E20,E20/F20))</f>
        <v/>
      </c>
      <c r="I20" s="35">
        <f>IF(J20="",0,H20*MAX(0,(YEAR(J20)*12+MONTH(J20))-MAX((YEAR(G20)*12+MONTH(G20)),(YEAR($K$10)*12+MONTH($K$10)))+1))</f>
        <v/>
      </c>
      <c r="J20" s="36">
        <f>IF(OR(H20="",G20="",N(F20)=0),"",DATE(YEAR(G20),MONTH(G20)+F20-1,1))</f>
        <v/>
      </c>
      <c r="K20" s="35">
        <f>IF(OR($H20="",$G20=""),"",IF(AND(K$10&gt;=$G20,OR(N($F20)=0,K$10&lt;=$J20)),$H20,""))</f>
        <v/>
      </c>
      <c r="L20" s="35">
        <f>IF(OR($H20="",$G20=""),"",IF(AND(L$10&gt;=$G20,OR(N($F20)=0,L$10&lt;=$J20)),$H20,""))</f>
        <v/>
      </c>
      <c r="M20" s="35">
        <f>IF(OR($H20="",$G20=""),"",IF(AND(M$10&gt;=$G20,OR(N($F20)=0,M$10&lt;=$J20)),$H20,""))</f>
        <v/>
      </c>
      <c r="N20" s="35">
        <f>IF(OR($H20="",$G20=""),"",IF(AND(N$10&gt;=$G20,OR(N($F20)=0,N$10&lt;=$J20)),$H20,""))</f>
        <v/>
      </c>
      <c r="O20" s="35">
        <f>IF(OR($H20="",$G20=""),"",IF(AND(O$10&gt;=$G20,OR(N($F20)=0,O$10&lt;=$J20)),$H20,""))</f>
        <v/>
      </c>
      <c r="P20" s="35">
        <f>IF(OR($H20="",$G20=""),"",IF(AND(P$10&gt;=$G20,OR(N($F20)=0,P$10&lt;=$J20)),$H20,""))</f>
        <v/>
      </c>
      <c r="Q20" s="35">
        <f>IF(OR($H20="",$G20=""),"",IF(AND(Q$10&gt;=$G20,OR(N($F20)=0,Q$10&lt;=$J20)),$H20,""))</f>
        <v/>
      </c>
      <c r="R20" s="35">
        <f>IF(OR($H20="",$G20=""),"",IF(AND(R$10&gt;=$G20,OR(N($F20)=0,R$10&lt;=$J20)),$H20,""))</f>
        <v/>
      </c>
      <c r="S20" s="35">
        <f>IF(OR($H20="",$G20=""),"",IF(AND(S$10&gt;=$G20,OR(N($F20)=0,S$10&lt;=$J20)),$H20,""))</f>
        <v/>
      </c>
      <c r="T20" s="35">
        <f>IF(OR($H20="",$G20=""),"",IF(AND(T$10&gt;=$G20,OR(N($F20)=0,T$10&lt;=$J20)),$H20,""))</f>
        <v/>
      </c>
      <c r="U20" s="35">
        <f>IF(OR($H20="",$G20=""),"",IF(AND(U$10&gt;=$G20,OR(N($F20)=0,U$10&lt;=$J20)),$H20,""))</f>
        <v/>
      </c>
      <c r="V20" s="35">
        <f>IF(OR($H20="",$G20=""),"",IF(AND(V$10&gt;=$G20,OR(N($F20)=0,V$10&lt;=$J20)),$H20,""))</f>
        <v/>
      </c>
      <c r="W20" s="35">
        <f>IF(OR($H20="",$G20=""),"",IF(AND(W$10&gt;=$G20,OR(N($F20)=0,W$10&lt;=$J20)),$H20,""))</f>
        <v/>
      </c>
      <c r="X20" s="35">
        <f>IF(OR($H20="",$G20=""),"",IF(AND(X$10&gt;=$G20,OR(N($F20)=0,X$10&lt;=$J20)),$H20,""))</f>
        <v/>
      </c>
      <c r="Y20" s="35">
        <f>IF(OR($H20="",$G20=""),"",IF(AND(Y$10&gt;=$G20,OR(N($F20)=0,Y$10&lt;=$J20)),$H20,""))</f>
        <v/>
      </c>
      <c r="Z20">
        <f>IF(OR(J20="",D20="Caixinha"),0,H20*MAX(0,(YEAR(J20)*12+MONTH(J20))-MAX((YEAR(G20)*12+MONTH(G20)),(YEAR(sel)*12+MONTH(sel)))+1))</f>
        <v/>
      </c>
    </row>
    <row r="21">
      <c r="A21" s="30">
        <f>IF(B21="","",IF(G21="","Falta 1º mês",IF(N(F21)=0,"Fixo",IF(J21&lt;$K$10,"Quitado",IF(J21=sel,"Última parcela","Ativo")))))</f>
        <v/>
      </c>
      <c r="B21" s="31" t="n"/>
      <c r="C21" s="31" t="n"/>
      <c r="D21" s="31" t="n"/>
      <c r="E21" s="32" t="n"/>
      <c r="F21" s="33" t="n"/>
      <c r="G21" s="34" t="n"/>
      <c r="H21" s="35">
        <f>IF(OR(B21="",E21=""),"",IF(N(F21)=0,E21,E21/F21))</f>
        <v/>
      </c>
      <c r="I21" s="35">
        <f>IF(J21="",0,H21*MAX(0,(YEAR(J21)*12+MONTH(J21))-MAX((YEAR(G21)*12+MONTH(G21)),(YEAR($K$10)*12+MONTH($K$10)))+1))</f>
        <v/>
      </c>
      <c r="J21" s="36">
        <f>IF(OR(H21="",G21="",N(F21)=0),"",DATE(YEAR(G21),MONTH(G21)+F21-1,1))</f>
        <v/>
      </c>
      <c r="K21" s="35">
        <f>IF(OR($H21="",$G21=""),"",IF(AND(K$10&gt;=$G21,OR(N($F21)=0,K$10&lt;=$J21)),$H21,""))</f>
        <v/>
      </c>
      <c r="L21" s="35">
        <f>IF(OR($H21="",$G21=""),"",IF(AND(L$10&gt;=$G21,OR(N($F21)=0,L$10&lt;=$J21)),$H21,""))</f>
        <v/>
      </c>
      <c r="M21" s="35">
        <f>IF(OR($H21="",$G21=""),"",IF(AND(M$10&gt;=$G21,OR(N($F21)=0,M$10&lt;=$J21)),$H21,""))</f>
        <v/>
      </c>
      <c r="N21" s="35">
        <f>IF(OR($H21="",$G21=""),"",IF(AND(N$10&gt;=$G21,OR(N($F21)=0,N$10&lt;=$J21)),$H21,""))</f>
        <v/>
      </c>
      <c r="O21" s="35">
        <f>IF(OR($H21="",$G21=""),"",IF(AND(O$10&gt;=$G21,OR(N($F21)=0,O$10&lt;=$J21)),$H21,""))</f>
        <v/>
      </c>
      <c r="P21" s="35">
        <f>IF(OR($H21="",$G21=""),"",IF(AND(P$10&gt;=$G21,OR(N($F21)=0,P$10&lt;=$J21)),$H21,""))</f>
        <v/>
      </c>
      <c r="Q21" s="35">
        <f>IF(OR($H21="",$G21=""),"",IF(AND(Q$10&gt;=$G21,OR(N($F21)=0,Q$10&lt;=$J21)),$H21,""))</f>
        <v/>
      </c>
      <c r="R21" s="35">
        <f>IF(OR($H21="",$G21=""),"",IF(AND(R$10&gt;=$G21,OR(N($F21)=0,R$10&lt;=$J21)),$H21,""))</f>
        <v/>
      </c>
      <c r="S21" s="35">
        <f>IF(OR($H21="",$G21=""),"",IF(AND(S$10&gt;=$G21,OR(N($F21)=0,S$10&lt;=$J21)),$H21,""))</f>
        <v/>
      </c>
      <c r="T21" s="35">
        <f>IF(OR($H21="",$G21=""),"",IF(AND(T$10&gt;=$G21,OR(N($F21)=0,T$10&lt;=$J21)),$H21,""))</f>
        <v/>
      </c>
      <c r="U21" s="35">
        <f>IF(OR($H21="",$G21=""),"",IF(AND(U$10&gt;=$G21,OR(N($F21)=0,U$10&lt;=$J21)),$H21,""))</f>
        <v/>
      </c>
      <c r="V21" s="35">
        <f>IF(OR($H21="",$G21=""),"",IF(AND(V$10&gt;=$G21,OR(N($F21)=0,V$10&lt;=$J21)),$H21,""))</f>
        <v/>
      </c>
      <c r="W21" s="35">
        <f>IF(OR($H21="",$G21=""),"",IF(AND(W$10&gt;=$G21,OR(N($F21)=0,W$10&lt;=$J21)),$H21,""))</f>
        <v/>
      </c>
      <c r="X21" s="35">
        <f>IF(OR($H21="",$G21=""),"",IF(AND(X$10&gt;=$G21,OR(N($F21)=0,X$10&lt;=$J21)),$H21,""))</f>
        <v/>
      </c>
      <c r="Y21" s="35">
        <f>IF(OR($H21="",$G21=""),"",IF(AND(Y$10&gt;=$G21,OR(N($F21)=0,Y$10&lt;=$J21)),$H21,""))</f>
        <v/>
      </c>
      <c r="Z21">
        <f>IF(OR(J21="",D21="Caixinha"),0,H21*MAX(0,(YEAR(J21)*12+MONTH(J21))-MAX((YEAR(G21)*12+MONTH(G21)),(YEAR(sel)*12+MONTH(sel)))+1))</f>
        <v/>
      </c>
    </row>
    <row r="22">
      <c r="A22" s="30">
        <f>IF(B22="","",IF(G22="","Falta 1º mês",IF(N(F22)=0,"Fixo",IF(J22&lt;$K$10,"Quitado",IF(J22=sel,"Última parcela","Ativo")))))</f>
        <v/>
      </c>
      <c r="B22" s="31" t="n"/>
      <c r="C22" s="31" t="n"/>
      <c r="D22" s="31" t="n"/>
      <c r="E22" s="32" t="n"/>
      <c r="F22" s="33" t="n"/>
      <c r="G22" s="34" t="n"/>
      <c r="H22" s="35">
        <f>IF(OR(B22="",E22=""),"",IF(N(F22)=0,E22,E22/F22))</f>
        <v/>
      </c>
      <c r="I22" s="35">
        <f>IF(J22="",0,H22*MAX(0,(YEAR(J22)*12+MONTH(J22))-MAX((YEAR(G22)*12+MONTH(G22)),(YEAR($K$10)*12+MONTH($K$10)))+1))</f>
        <v/>
      </c>
      <c r="J22" s="36">
        <f>IF(OR(H22="",G22="",N(F22)=0),"",DATE(YEAR(G22),MONTH(G22)+F22-1,1))</f>
        <v/>
      </c>
      <c r="K22" s="35">
        <f>IF(OR($H22="",$G22=""),"",IF(AND(K$10&gt;=$G22,OR(N($F22)=0,K$10&lt;=$J22)),$H22,""))</f>
        <v/>
      </c>
      <c r="L22" s="35">
        <f>IF(OR($H22="",$G22=""),"",IF(AND(L$10&gt;=$G22,OR(N($F22)=0,L$10&lt;=$J22)),$H22,""))</f>
        <v/>
      </c>
      <c r="M22" s="35">
        <f>IF(OR($H22="",$G22=""),"",IF(AND(M$10&gt;=$G22,OR(N($F22)=0,M$10&lt;=$J22)),$H22,""))</f>
        <v/>
      </c>
      <c r="N22" s="35">
        <f>IF(OR($H22="",$G22=""),"",IF(AND(N$10&gt;=$G22,OR(N($F22)=0,N$10&lt;=$J22)),$H22,""))</f>
        <v/>
      </c>
      <c r="O22" s="35">
        <f>IF(OR($H22="",$G22=""),"",IF(AND(O$10&gt;=$G22,OR(N($F22)=0,O$10&lt;=$J22)),$H22,""))</f>
        <v/>
      </c>
      <c r="P22" s="35">
        <f>IF(OR($H22="",$G22=""),"",IF(AND(P$10&gt;=$G22,OR(N($F22)=0,P$10&lt;=$J22)),$H22,""))</f>
        <v/>
      </c>
      <c r="Q22" s="35">
        <f>IF(OR($H22="",$G22=""),"",IF(AND(Q$10&gt;=$G22,OR(N($F22)=0,Q$10&lt;=$J22)),$H22,""))</f>
        <v/>
      </c>
      <c r="R22" s="35">
        <f>IF(OR($H22="",$G22=""),"",IF(AND(R$10&gt;=$G22,OR(N($F22)=0,R$10&lt;=$J22)),$H22,""))</f>
        <v/>
      </c>
      <c r="S22" s="35">
        <f>IF(OR($H22="",$G22=""),"",IF(AND(S$10&gt;=$G22,OR(N($F22)=0,S$10&lt;=$J22)),$H22,""))</f>
        <v/>
      </c>
      <c r="T22" s="35">
        <f>IF(OR($H22="",$G22=""),"",IF(AND(T$10&gt;=$G22,OR(N($F22)=0,T$10&lt;=$J22)),$H22,""))</f>
        <v/>
      </c>
      <c r="U22" s="35">
        <f>IF(OR($H22="",$G22=""),"",IF(AND(U$10&gt;=$G22,OR(N($F22)=0,U$10&lt;=$J22)),$H22,""))</f>
        <v/>
      </c>
      <c r="V22" s="35">
        <f>IF(OR($H22="",$G22=""),"",IF(AND(V$10&gt;=$G22,OR(N($F22)=0,V$10&lt;=$J22)),$H22,""))</f>
        <v/>
      </c>
      <c r="W22" s="35">
        <f>IF(OR($H22="",$G22=""),"",IF(AND(W$10&gt;=$G22,OR(N($F22)=0,W$10&lt;=$J22)),$H22,""))</f>
        <v/>
      </c>
      <c r="X22" s="35">
        <f>IF(OR($H22="",$G22=""),"",IF(AND(X$10&gt;=$G22,OR(N($F22)=0,X$10&lt;=$J22)),$H22,""))</f>
        <v/>
      </c>
      <c r="Y22" s="35">
        <f>IF(OR($H22="",$G22=""),"",IF(AND(Y$10&gt;=$G22,OR(N($F22)=0,Y$10&lt;=$J22)),$H22,""))</f>
        <v/>
      </c>
      <c r="Z22">
        <f>IF(OR(J22="",D22="Caixinha"),0,H22*MAX(0,(YEAR(J22)*12+MONTH(J22))-MAX((YEAR(G22)*12+MONTH(G22)),(YEAR(sel)*12+MONTH(sel)))+1))</f>
        <v/>
      </c>
    </row>
    <row r="23">
      <c r="A23" s="30">
        <f>IF(B23="","",IF(G23="","Falta 1º mês",IF(N(F23)=0,"Fixo",IF(J23&lt;$K$10,"Quitado",IF(J23=sel,"Última parcela","Ativo")))))</f>
        <v/>
      </c>
      <c r="B23" s="31" t="n"/>
      <c r="C23" s="31" t="n"/>
      <c r="D23" s="31" t="n"/>
      <c r="E23" s="32" t="n"/>
      <c r="F23" s="33" t="n"/>
      <c r="G23" s="34" t="n"/>
      <c r="H23" s="35">
        <f>IF(OR(B23="",E23=""),"",IF(N(F23)=0,E23,E23/F23))</f>
        <v/>
      </c>
      <c r="I23" s="35">
        <f>IF(J23="",0,H23*MAX(0,(YEAR(J23)*12+MONTH(J23))-MAX((YEAR(G23)*12+MONTH(G23)),(YEAR($K$10)*12+MONTH($K$10)))+1))</f>
        <v/>
      </c>
      <c r="J23" s="36">
        <f>IF(OR(H23="",G23="",N(F23)=0),"",DATE(YEAR(G23),MONTH(G23)+F23-1,1))</f>
        <v/>
      </c>
      <c r="K23" s="35">
        <f>IF(OR($H23="",$G23=""),"",IF(AND(K$10&gt;=$G23,OR(N($F23)=0,K$10&lt;=$J23)),$H23,""))</f>
        <v/>
      </c>
      <c r="L23" s="35">
        <f>IF(OR($H23="",$G23=""),"",IF(AND(L$10&gt;=$G23,OR(N($F23)=0,L$10&lt;=$J23)),$H23,""))</f>
        <v/>
      </c>
      <c r="M23" s="35">
        <f>IF(OR($H23="",$G23=""),"",IF(AND(M$10&gt;=$G23,OR(N($F23)=0,M$10&lt;=$J23)),$H23,""))</f>
        <v/>
      </c>
      <c r="N23" s="35">
        <f>IF(OR($H23="",$G23=""),"",IF(AND(N$10&gt;=$G23,OR(N($F23)=0,N$10&lt;=$J23)),$H23,""))</f>
        <v/>
      </c>
      <c r="O23" s="35">
        <f>IF(OR($H23="",$G23=""),"",IF(AND(O$10&gt;=$G23,OR(N($F23)=0,O$10&lt;=$J23)),$H23,""))</f>
        <v/>
      </c>
      <c r="P23" s="35">
        <f>IF(OR($H23="",$G23=""),"",IF(AND(P$10&gt;=$G23,OR(N($F23)=0,P$10&lt;=$J23)),$H23,""))</f>
        <v/>
      </c>
      <c r="Q23" s="35">
        <f>IF(OR($H23="",$G23=""),"",IF(AND(Q$10&gt;=$G23,OR(N($F23)=0,Q$10&lt;=$J23)),$H23,""))</f>
        <v/>
      </c>
      <c r="R23" s="35">
        <f>IF(OR($H23="",$G23=""),"",IF(AND(R$10&gt;=$G23,OR(N($F23)=0,R$10&lt;=$J23)),$H23,""))</f>
        <v/>
      </c>
      <c r="S23" s="35">
        <f>IF(OR($H23="",$G23=""),"",IF(AND(S$10&gt;=$G23,OR(N($F23)=0,S$10&lt;=$J23)),$H23,""))</f>
        <v/>
      </c>
      <c r="T23" s="35">
        <f>IF(OR($H23="",$G23=""),"",IF(AND(T$10&gt;=$G23,OR(N($F23)=0,T$10&lt;=$J23)),$H23,""))</f>
        <v/>
      </c>
      <c r="U23" s="35">
        <f>IF(OR($H23="",$G23=""),"",IF(AND(U$10&gt;=$G23,OR(N($F23)=0,U$10&lt;=$J23)),$H23,""))</f>
        <v/>
      </c>
      <c r="V23" s="35">
        <f>IF(OR($H23="",$G23=""),"",IF(AND(V$10&gt;=$G23,OR(N($F23)=0,V$10&lt;=$J23)),$H23,""))</f>
        <v/>
      </c>
      <c r="W23" s="35">
        <f>IF(OR($H23="",$G23=""),"",IF(AND(W$10&gt;=$G23,OR(N($F23)=0,W$10&lt;=$J23)),$H23,""))</f>
        <v/>
      </c>
      <c r="X23" s="35">
        <f>IF(OR($H23="",$G23=""),"",IF(AND(X$10&gt;=$G23,OR(N($F23)=0,X$10&lt;=$J23)),$H23,""))</f>
        <v/>
      </c>
      <c r="Y23" s="35">
        <f>IF(OR($H23="",$G23=""),"",IF(AND(Y$10&gt;=$G23,OR(N($F23)=0,Y$10&lt;=$J23)),$H23,""))</f>
        <v/>
      </c>
      <c r="Z23">
        <f>IF(OR(J23="",D23="Caixinha"),0,H23*MAX(0,(YEAR(J23)*12+MONTH(J23))-MAX((YEAR(G23)*12+MONTH(G23)),(YEAR(sel)*12+MONTH(sel)))+1))</f>
        <v/>
      </c>
    </row>
    <row r="24">
      <c r="A24" s="30">
        <f>IF(B24="","",IF(G24="","Falta 1º mês",IF(N(F24)=0,"Fixo",IF(J24&lt;$K$10,"Quitado",IF(J24=sel,"Última parcela","Ativo")))))</f>
        <v/>
      </c>
      <c r="B24" s="31" t="n"/>
      <c r="C24" s="31" t="n"/>
      <c r="D24" s="31" t="n"/>
      <c r="E24" s="32" t="n"/>
      <c r="F24" s="33" t="n"/>
      <c r="G24" s="34" t="n"/>
      <c r="H24" s="35">
        <f>IF(OR(B24="",E24=""),"",IF(N(F24)=0,E24,E24/F24))</f>
        <v/>
      </c>
      <c r="I24" s="35">
        <f>IF(J24="",0,H24*MAX(0,(YEAR(J24)*12+MONTH(J24))-MAX((YEAR(G24)*12+MONTH(G24)),(YEAR($K$10)*12+MONTH($K$10)))+1))</f>
        <v/>
      </c>
      <c r="J24" s="36">
        <f>IF(OR(H24="",G24="",N(F24)=0),"",DATE(YEAR(G24),MONTH(G24)+F24-1,1))</f>
        <v/>
      </c>
      <c r="K24" s="35">
        <f>IF(OR($H24="",$G24=""),"",IF(AND(K$10&gt;=$G24,OR(N($F24)=0,K$10&lt;=$J24)),$H24,""))</f>
        <v/>
      </c>
      <c r="L24" s="35">
        <f>IF(OR($H24="",$G24=""),"",IF(AND(L$10&gt;=$G24,OR(N($F24)=0,L$10&lt;=$J24)),$H24,""))</f>
        <v/>
      </c>
      <c r="M24" s="35">
        <f>IF(OR($H24="",$G24=""),"",IF(AND(M$10&gt;=$G24,OR(N($F24)=0,M$10&lt;=$J24)),$H24,""))</f>
        <v/>
      </c>
      <c r="N24" s="35">
        <f>IF(OR($H24="",$G24=""),"",IF(AND(N$10&gt;=$G24,OR(N($F24)=0,N$10&lt;=$J24)),$H24,""))</f>
        <v/>
      </c>
      <c r="O24" s="35">
        <f>IF(OR($H24="",$G24=""),"",IF(AND(O$10&gt;=$G24,OR(N($F24)=0,O$10&lt;=$J24)),$H24,""))</f>
        <v/>
      </c>
      <c r="P24" s="35">
        <f>IF(OR($H24="",$G24=""),"",IF(AND(P$10&gt;=$G24,OR(N($F24)=0,P$10&lt;=$J24)),$H24,""))</f>
        <v/>
      </c>
      <c r="Q24" s="35">
        <f>IF(OR($H24="",$G24=""),"",IF(AND(Q$10&gt;=$G24,OR(N($F24)=0,Q$10&lt;=$J24)),$H24,""))</f>
        <v/>
      </c>
      <c r="R24" s="35">
        <f>IF(OR($H24="",$G24=""),"",IF(AND(R$10&gt;=$G24,OR(N($F24)=0,R$10&lt;=$J24)),$H24,""))</f>
        <v/>
      </c>
      <c r="S24" s="35">
        <f>IF(OR($H24="",$G24=""),"",IF(AND(S$10&gt;=$G24,OR(N($F24)=0,S$10&lt;=$J24)),$H24,""))</f>
        <v/>
      </c>
      <c r="T24" s="35">
        <f>IF(OR($H24="",$G24=""),"",IF(AND(T$10&gt;=$G24,OR(N($F24)=0,T$10&lt;=$J24)),$H24,""))</f>
        <v/>
      </c>
      <c r="U24" s="35">
        <f>IF(OR($H24="",$G24=""),"",IF(AND(U$10&gt;=$G24,OR(N($F24)=0,U$10&lt;=$J24)),$H24,""))</f>
        <v/>
      </c>
      <c r="V24" s="35">
        <f>IF(OR($H24="",$G24=""),"",IF(AND(V$10&gt;=$G24,OR(N($F24)=0,V$10&lt;=$J24)),$H24,""))</f>
        <v/>
      </c>
      <c r="W24" s="35">
        <f>IF(OR($H24="",$G24=""),"",IF(AND(W$10&gt;=$G24,OR(N($F24)=0,W$10&lt;=$J24)),$H24,""))</f>
        <v/>
      </c>
      <c r="X24" s="35">
        <f>IF(OR($H24="",$G24=""),"",IF(AND(X$10&gt;=$G24,OR(N($F24)=0,X$10&lt;=$J24)),$H24,""))</f>
        <v/>
      </c>
      <c r="Y24" s="35">
        <f>IF(OR($H24="",$G24=""),"",IF(AND(Y$10&gt;=$G24,OR(N($F24)=0,Y$10&lt;=$J24)),$H24,""))</f>
        <v/>
      </c>
      <c r="Z24">
        <f>IF(OR(J24="",D24="Caixinha"),0,H24*MAX(0,(YEAR(J24)*12+MONTH(J24))-MAX((YEAR(G24)*12+MONTH(G24)),(YEAR(sel)*12+MONTH(sel)))+1))</f>
        <v/>
      </c>
    </row>
    <row r="25">
      <c r="A25" s="30">
        <f>IF(B25="","",IF(G25="","Falta 1º mês",IF(N(F25)=0,"Fixo",IF(J25&lt;$K$10,"Quitado",IF(J25=sel,"Última parcela","Ativo")))))</f>
        <v/>
      </c>
      <c r="B25" s="31" t="n"/>
      <c r="C25" s="31" t="n"/>
      <c r="D25" s="31" t="n"/>
      <c r="E25" s="32" t="n"/>
      <c r="F25" s="33" t="n"/>
      <c r="G25" s="34" t="n"/>
      <c r="H25" s="35">
        <f>IF(OR(B25="",E25=""),"",IF(N(F25)=0,E25,E25/F25))</f>
        <v/>
      </c>
      <c r="I25" s="35">
        <f>IF(J25="",0,H25*MAX(0,(YEAR(J25)*12+MONTH(J25))-MAX((YEAR(G25)*12+MONTH(G25)),(YEAR($K$10)*12+MONTH($K$10)))+1))</f>
        <v/>
      </c>
      <c r="J25" s="36">
        <f>IF(OR(H25="",G25="",N(F25)=0),"",DATE(YEAR(G25),MONTH(G25)+F25-1,1))</f>
        <v/>
      </c>
      <c r="K25" s="35">
        <f>IF(OR($H25="",$G25=""),"",IF(AND(K$10&gt;=$G25,OR(N($F25)=0,K$10&lt;=$J25)),$H25,""))</f>
        <v/>
      </c>
      <c r="L25" s="35">
        <f>IF(OR($H25="",$G25=""),"",IF(AND(L$10&gt;=$G25,OR(N($F25)=0,L$10&lt;=$J25)),$H25,""))</f>
        <v/>
      </c>
      <c r="M25" s="35">
        <f>IF(OR($H25="",$G25=""),"",IF(AND(M$10&gt;=$G25,OR(N($F25)=0,M$10&lt;=$J25)),$H25,""))</f>
        <v/>
      </c>
      <c r="N25" s="35">
        <f>IF(OR($H25="",$G25=""),"",IF(AND(N$10&gt;=$G25,OR(N($F25)=0,N$10&lt;=$J25)),$H25,""))</f>
        <v/>
      </c>
      <c r="O25" s="35">
        <f>IF(OR($H25="",$G25=""),"",IF(AND(O$10&gt;=$G25,OR(N($F25)=0,O$10&lt;=$J25)),$H25,""))</f>
        <v/>
      </c>
      <c r="P25" s="35">
        <f>IF(OR($H25="",$G25=""),"",IF(AND(P$10&gt;=$G25,OR(N($F25)=0,P$10&lt;=$J25)),$H25,""))</f>
        <v/>
      </c>
      <c r="Q25" s="35">
        <f>IF(OR($H25="",$G25=""),"",IF(AND(Q$10&gt;=$G25,OR(N($F25)=0,Q$10&lt;=$J25)),$H25,""))</f>
        <v/>
      </c>
      <c r="R25" s="35">
        <f>IF(OR($H25="",$G25=""),"",IF(AND(R$10&gt;=$G25,OR(N($F25)=0,R$10&lt;=$J25)),$H25,""))</f>
        <v/>
      </c>
      <c r="S25" s="35">
        <f>IF(OR($H25="",$G25=""),"",IF(AND(S$10&gt;=$G25,OR(N($F25)=0,S$10&lt;=$J25)),$H25,""))</f>
        <v/>
      </c>
      <c r="T25" s="35">
        <f>IF(OR($H25="",$G25=""),"",IF(AND(T$10&gt;=$G25,OR(N($F25)=0,T$10&lt;=$J25)),$H25,""))</f>
        <v/>
      </c>
      <c r="U25" s="35">
        <f>IF(OR($H25="",$G25=""),"",IF(AND(U$10&gt;=$G25,OR(N($F25)=0,U$10&lt;=$J25)),$H25,""))</f>
        <v/>
      </c>
      <c r="V25" s="35">
        <f>IF(OR($H25="",$G25=""),"",IF(AND(V$10&gt;=$G25,OR(N($F25)=0,V$10&lt;=$J25)),$H25,""))</f>
        <v/>
      </c>
      <c r="W25" s="35">
        <f>IF(OR($H25="",$G25=""),"",IF(AND(W$10&gt;=$G25,OR(N($F25)=0,W$10&lt;=$J25)),$H25,""))</f>
        <v/>
      </c>
      <c r="X25" s="35">
        <f>IF(OR($H25="",$G25=""),"",IF(AND(X$10&gt;=$G25,OR(N($F25)=0,X$10&lt;=$J25)),$H25,""))</f>
        <v/>
      </c>
      <c r="Y25" s="35">
        <f>IF(OR($H25="",$G25=""),"",IF(AND(Y$10&gt;=$G25,OR(N($F25)=0,Y$10&lt;=$J25)),$H25,""))</f>
        <v/>
      </c>
      <c r="Z25">
        <f>IF(OR(J25="",D25="Caixinha"),0,H25*MAX(0,(YEAR(J25)*12+MONTH(J25))-MAX((YEAR(G25)*12+MONTH(G25)),(YEAR(sel)*12+MONTH(sel)))+1))</f>
        <v/>
      </c>
    </row>
    <row r="26">
      <c r="A26" s="30">
        <f>IF(B26="","",IF(G26="","Falta 1º mês",IF(N(F26)=0,"Fixo",IF(J26&lt;$K$10,"Quitado",IF(J26=sel,"Última parcela","Ativo")))))</f>
        <v/>
      </c>
      <c r="B26" s="31" t="n"/>
      <c r="C26" s="31" t="n"/>
      <c r="D26" s="31" t="n"/>
      <c r="E26" s="32" t="n"/>
      <c r="F26" s="33" t="n"/>
      <c r="G26" s="34" t="n"/>
      <c r="H26" s="35">
        <f>IF(OR(B26="",E26=""),"",IF(N(F26)=0,E26,E26/F26))</f>
        <v/>
      </c>
      <c r="I26" s="35">
        <f>IF(J26="",0,H26*MAX(0,(YEAR(J26)*12+MONTH(J26))-MAX((YEAR(G26)*12+MONTH(G26)),(YEAR($K$10)*12+MONTH($K$10)))+1))</f>
        <v/>
      </c>
      <c r="J26" s="36">
        <f>IF(OR(H26="",G26="",N(F26)=0),"",DATE(YEAR(G26),MONTH(G26)+F26-1,1))</f>
        <v/>
      </c>
      <c r="K26" s="35">
        <f>IF(OR($H26="",$G26=""),"",IF(AND(K$10&gt;=$G26,OR(N($F26)=0,K$10&lt;=$J26)),$H26,""))</f>
        <v/>
      </c>
      <c r="L26" s="35">
        <f>IF(OR($H26="",$G26=""),"",IF(AND(L$10&gt;=$G26,OR(N($F26)=0,L$10&lt;=$J26)),$H26,""))</f>
        <v/>
      </c>
      <c r="M26" s="35">
        <f>IF(OR($H26="",$G26=""),"",IF(AND(M$10&gt;=$G26,OR(N($F26)=0,M$10&lt;=$J26)),$H26,""))</f>
        <v/>
      </c>
      <c r="N26" s="35">
        <f>IF(OR($H26="",$G26=""),"",IF(AND(N$10&gt;=$G26,OR(N($F26)=0,N$10&lt;=$J26)),$H26,""))</f>
        <v/>
      </c>
      <c r="O26" s="35">
        <f>IF(OR($H26="",$G26=""),"",IF(AND(O$10&gt;=$G26,OR(N($F26)=0,O$10&lt;=$J26)),$H26,""))</f>
        <v/>
      </c>
      <c r="P26" s="35">
        <f>IF(OR($H26="",$G26=""),"",IF(AND(P$10&gt;=$G26,OR(N($F26)=0,P$10&lt;=$J26)),$H26,""))</f>
        <v/>
      </c>
      <c r="Q26" s="35">
        <f>IF(OR($H26="",$G26=""),"",IF(AND(Q$10&gt;=$G26,OR(N($F26)=0,Q$10&lt;=$J26)),$H26,""))</f>
        <v/>
      </c>
      <c r="R26" s="35">
        <f>IF(OR($H26="",$G26=""),"",IF(AND(R$10&gt;=$G26,OR(N($F26)=0,R$10&lt;=$J26)),$H26,""))</f>
        <v/>
      </c>
      <c r="S26" s="35">
        <f>IF(OR($H26="",$G26=""),"",IF(AND(S$10&gt;=$G26,OR(N($F26)=0,S$10&lt;=$J26)),$H26,""))</f>
        <v/>
      </c>
      <c r="T26" s="35">
        <f>IF(OR($H26="",$G26=""),"",IF(AND(T$10&gt;=$G26,OR(N($F26)=0,T$10&lt;=$J26)),$H26,""))</f>
        <v/>
      </c>
      <c r="U26" s="35">
        <f>IF(OR($H26="",$G26=""),"",IF(AND(U$10&gt;=$G26,OR(N($F26)=0,U$10&lt;=$J26)),$H26,""))</f>
        <v/>
      </c>
      <c r="V26" s="35">
        <f>IF(OR($H26="",$G26=""),"",IF(AND(V$10&gt;=$G26,OR(N($F26)=0,V$10&lt;=$J26)),$H26,""))</f>
        <v/>
      </c>
      <c r="W26" s="35">
        <f>IF(OR($H26="",$G26=""),"",IF(AND(W$10&gt;=$G26,OR(N($F26)=0,W$10&lt;=$J26)),$H26,""))</f>
        <v/>
      </c>
      <c r="X26" s="35">
        <f>IF(OR($H26="",$G26=""),"",IF(AND(X$10&gt;=$G26,OR(N($F26)=0,X$10&lt;=$J26)),$H26,""))</f>
        <v/>
      </c>
      <c r="Y26" s="35">
        <f>IF(OR($H26="",$G26=""),"",IF(AND(Y$10&gt;=$G26,OR(N($F26)=0,Y$10&lt;=$J26)),$H26,""))</f>
        <v/>
      </c>
      <c r="Z26">
        <f>IF(OR(J26="",D26="Caixinha"),0,H26*MAX(0,(YEAR(J26)*12+MONTH(J26))-MAX((YEAR(G26)*12+MONTH(G26)),(YEAR(sel)*12+MONTH(sel)))+1))</f>
        <v/>
      </c>
    </row>
    <row r="27">
      <c r="A27" s="30">
        <f>IF(B27="","",IF(G27="","Falta 1º mês",IF(N(F27)=0,"Fixo",IF(J27&lt;$K$10,"Quitado",IF(J27=sel,"Última parcela","Ativo")))))</f>
        <v/>
      </c>
      <c r="B27" s="31" t="n"/>
      <c r="C27" s="31" t="n"/>
      <c r="D27" s="31" t="n"/>
      <c r="E27" s="32" t="n"/>
      <c r="F27" s="33" t="n"/>
      <c r="G27" s="34" t="n"/>
      <c r="H27" s="35">
        <f>IF(OR(B27="",E27=""),"",IF(N(F27)=0,E27,E27/F27))</f>
        <v/>
      </c>
      <c r="I27" s="35">
        <f>IF(J27="",0,H27*MAX(0,(YEAR(J27)*12+MONTH(J27))-MAX((YEAR(G27)*12+MONTH(G27)),(YEAR($K$10)*12+MONTH($K$10)))+1))</f>
        <v/>
      </c>
      <c r="J27" s="36">
        <f>IF(OR(H27="",G27="",N(F27)=0),"",DATE(YEAR(G27),MONTH(G27)+F27-1,1))</f>
        <v/>
      </c>
      <c r="K27" s="35">
        <f>IF(OR($H27="",$G27=""),"",IF(AND(K$10&gt;=$G27,OR(N($F27)=0,K$10&lt;=$J27)),$H27,""))</f>
        <v/>
      </c>
      <c r="L27" s="35">
        <f>IF(OR($H27="",$G27=""),"",IF(AND(L$10&gt;=$G27,OR(N($F27)=0,L$10&lt;=$J27)),$H27,""))</f>
        <v/>
      </c>
      <c r="M27" s="35">
        <f>IF(OR($H27="",$G27=""),"",IF(AND(M$10&gt;=$G27,OR(N($F27)=0,M$10&lt;=$J27)),$H27,""))</f>
        <v/>
      </c>
      <c r="N27" s="35">
        <f>IF(OR($H27="",$G27=""),"",IF(AND(N$10&gt;=$G27,OR(N($F27)=0,N$10&lt;=$J27)),$H27,""))</f>
        <v/>
      </c>
      <c r="O27" s="35">
        <f>IF(OR($H27="",$G27=""),"",IF(AND(O$10&gt;=$G27,OR(N($F27)=0,O$10&lt;=$J27)),$H27,""))</f>
        <v/>
      </c>
      <c r="P27" s="35">
        <f>IF(OR($H27="",$G27=""),"",IF(AND(P$10&gt;=$G27,OR(N($F27)=0,P$10&lt;=$J27)),$H27,""))</f>
        <v/>
      </c>
      <c r="Q27" s="35">
        <f>IF(OR($H27="",$G27=""),"",IF(AND(Q$10&gt;=$G27,OR(N($F27)=0,Q$10&lt;=$J27)),$H27,""))</f>
        <v/>
      </c>
      <c r="R27" s="35">
        <f>IF(OR($H27="",$G27=""),"",IF(AND(R$10&gt;=$G27,OR(N($F27)=0,R$10&lt;=$J27)),$H27,""))</f>
        <v/>
      </c>
      <c r="S27" s="35">
        <f>IF(OR($H27="",$G27=""),"",IF(AND(S$10&gt;=$G27,OR(N($F27)=0,S$10&lt;=$J27)),$H27,""))</f>
        <v/>
      </c>
      <c r="T27" s="35">
        <f>IF(OR($H27="",$G27=""),"",IF(AND(T$10&gt;=$G27,OR(N($F27)=0,T$10&lt;=$J27)),$H27,""))</f>
        <v/>
      </c>
      <c r="U27" s="35">
        <f>IF(OR($H27="",$G27=""),"",IF(AND(U$10&gt;=$G27,OR(N($F27)=0,U$10&lt;=$J27)),$H27,""))</f>
        <v/>
      </c>
      <c r="V27" s="35">
        <f>IF(OR($H27="",$G27=""),"",IF(AND(V$10&gt;=$G27,OR(N($F27)=0,V$10&lt;=$J27)),$H27,""))</f>
        <v/>
      </c>
      <c r="W27" s="35">
        <f>IF(OR($H27="",$G27=""),"",IF(AND(W$10&gt;=$G27,OR(N($F27)=0,W$10&lt;=$J27)),$H27,""))</f>
        <v/>
      </c>
      <c r="X27" s="35">
        <f>IF(OR($H27="",$G27=""),"",IF(AND(X$10&gt;=$G27,OR(N($F27)=0,X$10&lt;=$J27)),$H27,""))</f>
        <v/>
      </c>
      <c r="Y27" s="35">
        <f>IF(OR($H27="",$G27=""),"",IF(AND(Y$10&gt;=$G27,OR(N($F27)=0,Y$10&lt;=$J27)),$H27,""))</f>
        <v/>
      </c>
      <c r="Z27">
        <f>IF(OR(J27="",D27="Caixinha"),0,H27*MAX(0,(YEAR(J27)*12+MONTH(J27))-MAX((YEAR(G27)*12+MONTH(G27)),(YEAR(sel)*12+MONTH(sel)))+1))</f>
        <v/>
      </c>
    </row>
    <row r="28">
      <c r="A28" s="30">
        <f>IF(B28="","",IF(G28="","Falta 1º mês",IF(N(F28)=0,"Fixo",IF(J28&lt;$K$10,"Quitado",IF(J28=sel,"Última parcela","Ativo")))))</f>
        <v/>
      </c>
      <c r="B28" s="31" t="n"/>
      <c r="C28" s="31" t="n"/>
      <c r="D28" s="31" t="n"/>
      <c r="E28" s="32" t="n"/>
      <c r="F28" s="33" t="n"/>
      <c r="G28" s="34" t="n"/>
      <c r="H28" s="35">
        <f>IF(OR(B28="",E28=""),"",IF(N(F28)=0,E28,E28/F28))</f>
        <v/>
      </c>
      <c r="I28" s="35">
        <f>IF(J28="",0,H28*MAX(0,(YEAR(J28)*12+MONTH(J28))-MAX((YEAR(G28)*12+MONTH(G28)),(YEAR($K$10)*12+MONTH($K$10)))+1))</f>
        <v/>
      </c>
      <c r="J28" s="36">
        <f>IF(OR(H28="",G28="",N(F28)=0),"",DATE(YEAR(G28),MONTH(G28)+F28-1,1))</f>
        <v/>
      </c>
      <c r="K28" s="35">
        <f>IF(OR($H28="",$G28=""),"",IF(AND(K$10&gt;=$G28,OR(N($F28)=0,K$10&lt;=$J28)),$H28,""))</f>
        <v/>
      </c>
      <c r="L28" s="35">
        <f>IF(OR($H28="",$G28=""),"",IF(AND(L$10&gt;=$G28,OR(N($F28)=0,L$10&lt;=$J28)),$H28,""))</f>
        <v/>
      </c>
      <c r="M28" s="35">
        <f>IF(OR($H28="",$G28=""),"",IF(AND(M$10&gt;=$G28,OR(N($F28)=0,M$10&lt;=$J28)),$H28,""))</f>
        <v/>
      </c>
      <c r="N28" s="35">
        <f>IF(OR($H28="",$G28=""),"",IF(AND(N$10&gt;=$G28,OR(N($F28)=0,N$10&lt;=$J28)),$H28,""))</f>
        <v/>
      </c>
      <c r="O28" s="35">
        <f>IF(OR($H28="",$G28=""),"",IF(AND(O$10&gt;=$G28,OR(N($F28)=0,O$10&lt;=$J28)),$H28,""))</f>
        <v/>
      </c>
      <c r="P28" s="35">
        <f>IF(OR($H28="",$G28=""),"",IF(AND(P$10&gt;=$G28,OR(N($F28)=0,P$10&lt;=$J28)),$H28,""))</f>
        <v/>
      </c>
      <c r="Q28" s="35">
        <f>IF(OR($H28="",$G28=""),"",IF(AND(Q$10&gt;=$G28,OR(N($F28)=0,Q$10&lt;=$J28)),$H28,""))</f>
        <v/>
      </c>
      <c r="R28" s="35">
        <f>IF(OR($H28="",$G28=""),"",IF(AND(R$10&gt;=$G28,OR(N($F28)=0,R$10&lt;=$J28)),$H28,""))</f>
        <v/>
      </c>
      <c r="S28" s="35">
        <f>IF(OR($H28="",$G28=""),"",IF(AND(S$10&gt;=$G28,OR(N($F28)=0,S$10&lt;=$J28)),$H28,""))</f>
        <v/>
      </c>
      <c r="T28" s="35">
        <f>IF(OR($H28="",$G28=""),"",IF(AND(T$10&gt;=$G28,OR(N($F28)=0,T$10&lt;=$J28)),$H28,""))</f>
        <v/>
      </c>
      <c r="U28" s="35">
        <f>IF(OR($H28="",$G28=""),"",IF(AND(U$10&gt;=$G28,OR(N($F28)=0,U$10&lt;=$J28)),$H28,""))</f>
        <v/>
      </c>
      <c r="V28" s="35">
        <f>IF(OR($H28="",$G28=""),"",IF(AND(V$10&gt;=$G28,OR(N($F28)=0,V$10&lt;=$J28)),$H28,""))</f>
        <v/>
      </c>
      <c r="W28" s="35">
        <f>IF(OR($H28="",$G28=""),"",IF(AND(W$10&gt;=$G28,OR(N($F28)=0,W$10&lt;=$J28)),$H28,""))</f>
        <v/>
      </c>
      <c r="X28" s="35">
        <f>IF(OR($H28="",$G28=""),"",IF(AND(X$10&gt;=$G28,OR(N($F28)=0,X$10&lt;=$J28)),$H28,""))</f>
        <v/>
      </c>
      <c r="Y28" s="35">
        <f>IF(OR($H28="",$G28=""),"",IF(AND(Y$10&gt;=$G28,OR(N($F28)=0,Y$10&lt;=$J28)),$H28,""))</f>
        <v/>
      </c>
      <c r="Z28">
        <f>IF(OR(J28="",D28="Caixinha"),0,H28*MAX(0,(YEAR(J28)*12+MONTH(J28))-MAX((YEAR(G28)*12+MONTH(G28)),(YEAR(sel)*12+MONTH(sel)))+1))</f>
        <v/>
      </c>
    </row>
    <row r="29">
      <c r="A29" s="30">
        <f>IF(B29="","",IF(G29="","Falta 1º mês",IF(N(F29)=0,"Fixo",IF(J29&lt;$K$10,"Quitado",IF(J29=sel,"Última parcela","Ativo")))))</f>
        <v/>
      </c>
      <c r="B29" s="31" t="n"/>
      <c r="C29" s="31" t="n"/>
      <c r="D29" s="31" t="n"/>
      <c r="E29" s="32" t="n"/>
      <c r="F29" s="33" t="n"/>
      <c r="G29" s="34" t="n"/>
      <c r="H29" s="35">
        <f>IF(OR(B29="",E29=""),"",IF(N(F29)=0,E29,E29/F29))</f>
        <v/>
      </c>
      <c r="I29" s="35">
        <f>IF(J29="",0,H29*MAX(0,(YEAR(J29)*12+MONTH(J29))-MAX((YEAR(G29)*12+MONTH(G29)),(YEAR($K$10)*12+MONTH($K$10)))+1))</f>
        <v/>
      </c>
      <c r="J29" s="36">
        <f>IF(OR(H29="",G29="",N(F29)=0),"",DATE(YEAR(G29),MONTH(G29)+F29-1,1))</f>
        <v/>
      </c>
      <c r="K29" s="35">
        <f>IF(OR($H29="",$G29=""),"",IF(AND(K$10&gt;=$G29,OR(N($F29)=0,K$10&lt;=$J29)),$H29,""))</f>
        <v/>
      </c>
      <c r="L29" s="35">
        <f>IF(OR($H29="",$G29=""),"",IF(AND(L$10&gt;=$G29,OR(N($F29)=0,L$10&lt;=$J29)),$H29,""))</f>
        <v/>
      </c>
      <c r="M29" s="35">
        <f>IF(OR($H29="",$G29=""),"",IF(AND(M$10&gt;=$G29,OR(N($F29)=0,M$10&lt;=$J29)),$H29,""))</f>
        <v/>
      </c>
      <c r="N29" s="35">
        <f>IF(OR($H29="",$G29=""),"",IF(AND(N$10&gt;=$G29,OR(N($F29)=0,N$10&lt;=$J29)),$H29,""))</f>
        <v/>
      </c>
      <c r="O29" s="35">
        <f>IF(OR($H29="",$G29=""),"",IF(AND(O$10&gt;=$G29,OR(N($F29)=0,O$10&lt;=$J29)),$H29,""))</f>
        <v/>
      </c>
      <c r="P29" s="35">
        <f>IF(OR($H29="",$G29=""),"",IF(AND(P$10&gt;=$G29,OR(N($F29)=0,P$10&lt;=$J29)),$H29,""))</f>
        <v/>
      </c>
      <c r="Q29" s="35">
        <f>IF(OR($H29="",$G29=""),"",IF(AND(Q$10&gt;=$G29,OR(N($F29)=0,Q$10&lt;=$J29)),$H29,""))</f>
        <v/>
      </c>
      <c r="R29" s="35">
        <f>IF(OR($H29="",$G29=""),"",IF(AND(R$10&gt;=$G29,OR(N($F29)=0,R$10&lt;=$J29)),$H29,""))</f>
        <v/>
      </c>
      <c r="S29" s="35">
        <f>IF(OR($H29="",$G29=""),"",IF(AND(S$10&gt;=$G29,OR(N($F29)=0,S$10&lt;=$J29)),$H29,""))</f>
        <v/>
      </c>
      <c r="T29" s="35">
        <f>IF(OR($H29="",$G29=""),"",IF(AND(T$10&gt;=$G29,OR(N($F29)=0,T$10&lt;=$J29)),$H29,""))</f>
        <v/>
      </c>
      <c r="U29" s="35">
        <f>IF(OR($H29="",$G29=""),"",IF(AND(U$10&gt;=$G29,OR(N($F29)=0,U$10&lt;=$J29)),$H29,""))</f>
        <v/>
      </c>
      <c r="V29" s="35">
        <f>IF(OR($H29="",$G29=""),"",IF(AND(V$10&gt;=$G29,OR(N($F29)=0,V$10&lt;=$J29)),$H29,""))</f>
        <v/>
      </c>
      <c r="W29" s="35">
        <f>IF(OR($H29="",$G29=""),"",IF(AND(W$10&gt;=$G29,OR(N($F29)=0,W$10&lt;=$J29)),$H29,""))</f>
        <v/>
      </c>
      <c r="X29" s="35">
        <f>IF(OR($H29="",$G29=""),"",IF(AND(X$10&gt;=$G29,OR(N($F29)=0,X$10&lt;=$J29)),$H29,""))</f>
        <v/>
      </c>
      <c r="Y29" s="35">
        <f>IF(OR($H29="",$G29=""),"",IF(AND(Y$10&gt;=$G29,OR(N($F29)=0,Y$10&lt;=$J29)),$H29,""))</f>
        <v/>
      </c>
      <c r="Z29">
        <f>IF(OR(J29="",D29="Caixinha"),0,H29*MAX(0,(YEAR(J29)*12+MONTH(J29))-MAX((YEAR(G29)*12+MONTH(G29)),(YEAR(sel)*12+MONTH(sel)))+1))</f>
        <v/>
      </c>
    </row>
    <row r="30">
      <c r="A30" s="30">
        <f>IF(B30="","",IF(G30="","Falta 1º mês",IF(N(F30)=0,"Fixo",IF(J30&lt;$K$10,"Quitado",IF(J30=sel,"Última parcela","Ativo")))))</f>
        <v/>
      </c>
      <c r="B30" s="31" t="n"/>
      <c r="C30" s="31" t="n"/>
      <c r="D30" s="31" t="n"/>
      <c r="E30" s="32" t="n"/>
      <c r="F30" s="33" t="n"/>
      <c r="G30" s="34" t="n"/>
      <c r="H30" s="35">
        <f>IF(OR(B30="",E30=""),"",IF(N(F30)=0,E30,E30/F30))</f>
        <v/>
      </c>
      <c r="I30" s="35">
        <f>IF(J30="",0,H30*MAX(0,(YEAR(J30)*12+MONTH(J30))-MAX((YEAR(G30)*12+MONTH(G30)),(YEAR($K$10)*12+MONTH($K$10)))+1))</f>
        <v/>
      </c>
      <c r="J30" s="36">
        <f>IF(OR(H30="",G30="",N(F30)=0),"",DATE(YEAR(G30),MONTH(G30)+F30-1,1))</f>
        <v/>
      </c>
      <c r="K30" s="35">
        <f>IF(OR($H30="",$G30=""),"",IF(AND(K$10&gt;=$G30,OR(N($F30)=0,K$10&lt;=$J30)),$H30,""))</f>
        <v/>
      </c>
      <c r="L30" s="35">
        <f>IF(OR($H30="",$G30=""),"",IF(AND(L$10&gt;=$G30,OR(N($F30)=0,L$10&lt;=$J30)),$H30,""))</f>
        <v/>
      </c>
      <c r="M30" s="35">
        <f>IF(OR($H30="",$G30=""),"",IF(AND(M$10&gt;=$G30,OR(N($F30)=0,M$10&lt;=$J30)),$H30,""))</f>
        <v/>
      </c>
      <c r="N30" s="35">
        <f>IF(OR($H30="",$G30=""),"",IF(AND(N$10&gt;=$G30,OR(N($F30)=0,N$10&lt;=$J30)),$H30,""))</f>
        <v/>
      </c>
      <c r="O30" s="35">
        <f>IF(OR($H30="",$G30=""),"",IF(AND(O$10&gt;=$G30,OR(N($F30)=0,O$10&lt;=$J30)),$H30,""))</f>
        <v/>
      </c>
      <c r="P30" s="35">
        <f>IF(OR($H30="",$G30=""),"",IF(AND(P$10&gt;=$G30,OR(N($F30)=0,P$10&lt;=$J30)),$H30,""))</f>
        <v/>
      </c>
      <c r="Q30" s="35">
        <f>IF(OR($H30="",$G30=""),"",IF(AND(Q$10&gt;=$G30,OR(N($F30)=0,Q$10&lt;=$J30)),$H30,""))</f>
        <v/>
      </c>
      <c r="R30" s="35">
        <f>IF(OR($H30="",$G30=""),"",IF(AND(R$10&gt;=$G30,OR(N($F30)=0,R$10&lt;=$J30)),$H30,""))</f>
        <v/>
      </c>
      <c r="S30" s="35">
        <f>IF(OR($H30="",$G30=""),"",IF(AND(S$10&gt;=$G30,OR(N($F30)=0,S$10&lt;=$J30)),$H30,""))</f>
        <v/>
      </c>
      <c r="T30" s="35">
        <f>IF(OR($H30="",$G30=""),"",IF(AND(T$10&gt;=$G30,OR(N($F30)=0,T$10&lt;=$J30)),$H30,""))</f>
        <v/>
      </c>
      <c r="U30" s="35">
        <f>IF(OR($H30="",$G30=""),"",IF(AND(U$10&gt;=$G30,OR(N($F30)=0,U$10&lt;=$J30)),$H30,""))</f>
        <v/>
      </c>
      <c r="V30" s="35">
        <f>IF(OR($H30="",$G30=""),"",IF(AND(V$10&gt;=$G30,OR(N($F30)=0,V$10&lt;=$J30)),$H30,""))</f>
        <v/>
      </c>
      <c r="W30" s="35">
        <f>IF(OR($H30="",$G30=""),"",IF(AND(W$10&gt;=$G30,OR(N($F30)=0,W$10&lt;=$J30)),$H30,""))</f>
        <v/>
      </c>
      <c r="X30" s="35">
        <f>IF(OR($H30="",$G30=""),"",IF(AND(X$10&gt;=$G30,OR(N($F30)=0,X$10&lt;=$J30)),$H30,""))</f>
        <v/>
      </c>
      <c r="Y30" s="35">
        <f>IF(OR($H30="",$G30=""),"",IF(AND(Y$10&gt;=$G30,OR(N($F30)=0,Y$10&lt;=$J30)),$H30,""))</f>
        <v/>
      </c>
      <c r="Z30">
        <f>IF(OR(J30="",D30="Caixinha"),0,H30*MAX(0,(YEAR(J30)*12+MONTH(J30))-MAX((YEAR(G30)*12+MONTH(G30)),(YEAR(sel)*12+MONTH(sel)))+1))</f>
        <v/>
      </c>
    </row>
    <row r="31">
      <c r="A31" s="30">
        <f>IF(B31="","",IF(G31="","Falta 1º mês",IF(N(F31)=0,"Fixo",IF(J31&lt;$K$10,"Quitado",IF(J31=sel,"Última parcela","Ativo")))))</f>
        <v/>
      </c>
      <c r="B31" s="31" t="n"/>
      <c r="C31" s="31" t="n"/>
      <c r="D31" s="31" t="n"/>
      <c r="E31" s="32" t="n"/>
      <c r="F31" s="33" t="n"/>
      <c r="G31" s="34" t="n"/>
      <c r="H31" s="35">
        <f>IF(OR(B31="",E31=""),"",IF(N(F31)=0,E31,E31/F31))</f>
        <v/>
      </c>
      <c r="I31" s="35">
        <f>IF(J31="",0,H31*MAX(0,(YEAR(J31)*12+MONTH(J31))-MAX((YEAR(G31)*12+MONTH(G31)),(YEAR($K$10)*12+MONTH($K$10)))+1))</f>
        <v/>
      </c>
      <c r="J31" s="36">
        <f>IF(OR(H31="",G31="",N(F31)=0),"",DATE(YEAR(G31),MONTH(G31)+F31-1,1))</f>
        <v/>
      </c>
      <c r="K31" s="35">
        <f>IF(OR($H31="",$G31=""),"",IF(AND(K$10&gt;=$G31,OR(N($F31)=0,K$10&lt;=$J31)),$H31,""))</f>
        <v/>
      </c>
      <c r="L31" s="35">
        <f>IF(OR($H31="",$G31=""),"",IF(AND(L$10&gt;=$G31,OR(N($F31)=0,L$10&lt;=$J31)),$H31,""))</f>
        <v/>
      </c>
      <c r="M31" s="35">
        <f>IF(OR($H31="",$G31=""),"",IF(AND(M$10&gt;=$G31,OR(N($F31)=0,M$10&lt;=$J31)),$H31,""))</f>
        <v/>
      </c>
      <c r="N31" s="35">
        <f>IF(OR($H31="",$G31=""),"",IF(AND(N$10&gt;=$G31,OR(N($F31)=0,N$10&lt;=$J31)),$H31,""))</f>
        <v/>
      </c>
      <c r="O31" s="35">
        <f>IF(OR($H31="",$G31=""),"",IF(AND(O$10&gt;=$G31,OR(N($F31)=0,O$10&lt;=$J31)),$H31,""))</f>
        <v/>
      </c>
      <c r="P31" s="35">
        <f>IF(OR($H31="",$G31=""),"",IF(AND(P$10&gt;=$G31,OR(N($F31)=0,P$10&lt;=$J31)),$H31,""))</f>
        <v/>
      </c>
      <c r="Q31" s="35">
        <f>IF(OR($H31="",$G31=""),"",IF(AND(Q$10&gt;=$G31,OR(N($F31)=0,Q$10&lt;=$J31)),$H31,""))</f>
        <v/>
      </c>
      <c r="R31" s="35">
        <f>IF(OR($H31="",$G31=""),"",IF(AND(R$10&gt;=$G31,OR(N($F31)=0,R$10&lt;=$J31)),$H31,""))</f>
        <v/>
      </c>
      <c r="S31" s="35">
        <f>IF(OR($H31="",$G31=""),"",IF(AND(S$10&gt;=$G31,OR(N($F31)=0,S$10&lt;=$J31)),$H31,""))</f>
        <v/>
      </c>
      <c r="T31" s="35">
        <f>IF(OR($H31="",$G31=""),"",IF(AND(T$10&gt;=$G31,OR(N($F31)=0,T$10&lt;=$J31)),$H31,""))</f>
        <v/>
      </c>
      <c r="U31" s="35">
        <f>IF(OR($H31="",$G31=""),"",IF(AND(U$10&gt;=$G31,OR(N($F31)=0,U$10&lt;=$J31)),$H31,""))</f>
        <v/>
      </c>
      <c r="V31" s="35">
        <f>IF(OR($H31="",$G31=""),"",IF(AND(V$10&gt;=$G31,OR(N($F31)=0,V$10&lt;=$J31)),$H31,""))</f>
        <v/>
      </c>
      <c r="W31" s="35">
        <f>IF(OR($H31="",$G31=""),"",IF(AND(W$10&gt;=$G31,OR(N($F31)=0,W$10&lt;=$J31)),$H31,""))</f>
        <v/>
      </c>
      <c r="X31" s="35">
        <f>IF(OR($H31="",$G31=""),"",IF(AND(X$10&gt;=$G31,OR(N($F31)=0,X$10&lt;=$J31)),$H31,""))</f>
        <v/>
      </c>
      <c r="Y31" s="35">
        <f>IF(OR($H31="",$G31=""),"",IF(AND(Y$10&gt;=$G31,OR(N($F31)=0,Y$10&lt;=$J31)),$H31,""))</f>
        <v/>
      </c>
      <c r="Z31">
        <f>IF(OR(J31="",D31="Caixinha"),0,H31*MAX(0,(YEAR(J31)*12+MONTH(J31))-MAX((YEAR(G31)*12+MONTH(G31)),(YEAR(sel)*12+MONTH(sel)))+1))</f>
        <v/>
      </c>
    </row>
    <row r="32">
      <c r="A32" s="30">
        <f>IF(B32="","",IF(G32="","Falta 1º mês",IF(N(F32)=0,"Fixo",IF(J32&lt;$K$10,"Quitado",IF(J32=sel,"Última parcela","Ativo")))))</f>
        <v/>
      </c>
      <c r="B32" s="31" t="n"/>
      <c r="C32" s="31" t="n"/>
      <c r="D32" s="31" t="n"/>
      <c r="E32" s="32" t="n"/>
      <c r="F32" s="33" t="n"/>
      <c r="G32" s="34" t="n"/>
      <c r="H32" s="35">
        <f>IF(OR(B32="",E32=""),"",IF(N(F32)=0,E32,E32/F32))</f>
        <v/>
      </c>
      <c r="I32" s="35">
        <f>IF(J32="",0,H32*MAX(0,(YEAR(J32)*12+MONTH(J32))-MAX((YEAR(G32)*12+MONTH(G32)),(YEAR($K$10)*12+MONTH($K$10)))+1))</f>
        <v/>
      </c>
      <c r="J32" s="36">
        <f>IF(OR(H32="",G32="",N(F32)=0),"",DATE(YEAR(G32),MONTH(G32)+F32-1,1))</f>
        <v/>
      </c>
      <c r="K32" s="35">
        <f>IF(OR($H32="",$G32=""),"",IF(AND(K$10&gt;=$G32,OR(N($F32)=0,K$10&lt;=$J32)),$H32,""))</f>
        <v/>
      </c>
      <c r="L32" s="35">
        <f>IF(OR($H32="",$G32=""),"",IF(AND(L$10&gt;=$G32,OR(N($F32)=0,L$10&lt;=$J32)),$H32,""))</f>
        <v/>
      </c>
      <c r="M32" s="35">
        <f>IF(OR($H32="",$G32=""),"",IF(AND(M$10&gt;=$G32,OR(N($F32)=0,M$10&lt;=$J32)),$H32,""))</f>
        <v/>
      </c>
      <c r="N32" s="35">
        <f>IF(OR($H32="",$G32=""),"",IF(AND(N$10&gt;=$G32,OR(N($F32)=0,N$10&lt;=$J32)),$H32,""))</f>
        <v/>
      </c>
      <c r="O32" s="35">
        <f>IF(OR($H32="",$G32=""),"",IF(AND(O$10&gt;=$G32,OR(N($F32)=0,O$10&lt;=$J32)),$H32,""))</f>
        <v/>
      </c>
      <c r="P32" s="35">
        <f>IF(OR($H32="",$G32=""),"",IF(AND(P$10&gt;=$G32,OR(N($F32)=0,P$10&lt;=$J32)),$H32,""))</f>
        <v/>
      </c>
      <c r="Q32" s="35">
        <f>IF(OR($H32="",$G32=""),"",IF(AND(Q$10&gt;=$G32,OR(N($F32)=0,Q$10&lt;=$J32)),$H32,""))</f>
        <v/>
      </c>
      <c r="R32" s="35">
        <f>IF(OR($H32="",$G32=""),"",IF(AND(R$10&gt;=$G32,OR(N($F32)=0,R$10&lt;=$J32)),$H32,""))</f>
        <v/>
      </c>
      <c r="S32" s="35">
        <f>IF(OR($H32="",$G32=""),"",IF(AND(S$10&gt;=$G32,OR(N($F32)=0,S$10&lt;=$J32)),$H32,""))</f>
        <v/>
      </c>
      <c r="T32" s="35">
        <f>IF(OR($H32="",$G32=""),"",IF(AND(T$10&gt;=$G32,OR(N($F32)=0,T$10&lt;=$J32)),$H32,""))</f>
        <v/>
      </c>
      <c r="U32" s="35">
        <f>IF(OR($H32="",$G32=""),"",IF(AND(U$10&gt;=$G32,OR(N($F32)=0,U$10&lt;=$J32)),$H32,""))</f>
        <v/>
      </c>
      <c r="V32" s="35">
        <f>IF(OR($H32="",$G32=""),"",IF(AND(V$10&gt;=$G32,OR(N($F32)=0,V$10&lt;=$J32)),$H32,""))</f>
        <v/>
      </c>
      <c r="W32" s="35">
        <f>IF(OR($H32="",$G32=""),"",IF(AND(W$10&gt;=$G32,OR(N($F32)=0,W$10&lt;=$J32)),$H32,""))</f>
        <v/>
      </c>
      <c r="X32" s="35">
        <f>IF(OR($H32="",$G32=""),"",IF(AND(X$10&gt;=$G32,OR(N($F32)=0,X$10&lt;=$J32)),$H32,""))</f>
        <v/>
      </c>
      <c r="Y32" s="35">
        <f>IF(OR($H32="",$G32=""),"",IF(AND(Y$10&gt;=$G32,OR(N($F32)=0,Y$10&lt;=$J32)),$H32,""))</f>
        <v/>
      </c>
      <c r="Z32">
        <f>IF(OR(J32="",D32="Caixinha"),0,H32*MAX(0,(YEAR(J32)*12+MONTH(J32))-MAX((YEAR(G32)*12+MONTH(G32)),(YEAR(sel)*12+MONTH(sel)))+1))</f>
        <v/>
      </c>
    </row>
    <row r="33">
      <c r="A33" s="30">
        <f>IF(B33="","",IF(G33="","Falta 1º mês",IF(N(F33)=0,"Fixo",IF(J33&lt;$K$10,"Quitado",IF(J33=sel,"Última parcela","Ativo")))))</f>
        <v/>
      </c>
      <c r="B33" s="31" t="n"/>
      <c r="C33" s="31" t="n"/>
      <c r="D33" s="31" t="n"/>
      <c r="E33" s="32" t="n"/>
      <c r="F33" s="33" t="n"/>
      <c r="G33" s="34" t="n"/>
      <c r="H33" s="35">
        <f>IF(OR(B33="",E33=""),"",IF(N(F33)=0,E33,E33/F33))</f>
        <v/>
      </c>
      <c r="I33" s="35">
        <f>IF(J33="",0,H33*MAX(0,(YEAR(J33)*12+MONTH(J33))-MAX((YEAR(G33)*12+MONTH(G33)),(YEAR($K$10)*12+MONTH($K$10)))+1))</f>
        <v/>
      </c>
      <c r="J33" s="36">
        <f>IF(OR(H33="",G33="",N(F33)=0),"",DATE(YEAR(G33),MONTH(G33)+F33-1,1))</f>
        <v/>
      </c>
      <c r="K33" s="35">
        <f>IF(OR($H33="",$G33=""),"",IF(AND(K$10&gt;=$G33,OR(N($F33)=0,K$10&lt;=$J33)),$H33,""))</f>
        <v/>
      </c>
      <c r="L33" s="35">
        <f>IF(OR($H33="",$G33=""),"",IF(AND(L$10&gt;=$G33,OR(N($F33)=0,L$10&lt;=$J33)),$H33,""))</f>
        <v/>
      </c>
      <c r="M33" s="35">
        <f>IF(OR($H33="",$G33=""),"",IF(AND(M$10&gt;=$G33,OR(N($F33)=0,M$10&lt;=$J33)),$H33,""))</f>
        <v/>
      </c>
      <c r="N33" s="35">
        <f>IF(OR($H33="",$G33=""),"",IF(AND(N$10&gt;=$G33,OR(N($F33)=0,N$10&lt;=$J33)),$H33,""))</f>
        <v/>
      </c>
      <c r="O33" s="35">
        <f>IF(OR($H33="",$G33=""),"",IF(AND(O$10&gt;=$G33,OR(N($F33)=0,O$10&lt;=$J33)),$H33,""))</f>
        <v/>
      </c>
      <c r="P33" s="35">
        <f>IF(OR($H33="",$G33=""),"",IF(AND(P$10&gt;=$G33,OR(N($F33)=0,P$10&lt;=$J33)),$H33,""))</f>
        <v/>
      </c>
      <c r="Q33" s="35">
        <f>IF(OR($H33="",$G33=""),"",IF(AND(Q$10&gt;=$G33,OR(N($F33)=0,Q$10&lt;=$J33)),$H33,""))</f>
        <v/>
      </c>
      <c r="R33" s="35">
        <f>IF(OR($H33="",$G33=""),"",IF(AND(R$10&gt;=$G33,OR(N($F33)=0,R$10&lt;=$J33)),$H33,""))</f>
        <v/>
      </c>
      <c r="S33" s="35">
        <f>IF(OR($H33="",$G33=""),"",IF(AND(S$10&gt;=$G33,OR(N($F33)=0,S$10&lt;=$J33)),$H33,""))</f>
        <v/>
      </c>
      <c r="T33" s="35">
        <f>IF(OR($H33="",$G33=""),"",IF(AND(T$10&gt;=$G33,OR(N($F33)=0,T$10&lt;=$J33)),$H33,""))</f>
        <v/>
      </c>
      <c r="U33" s="35">
        <f>IF(OR($H33="",$G33=""),"",IF(AND(U$10&gt;=$G33,OR(N($F33)=0,U$10&lt;=$J33)),$H33,""))</f>
        <v/>
      </c>
      <c r="V33" s="35">
        <f>IF(OR($H33="",$G33=""),"",IF(AND(V$10&gt;=$G33,OR(N($F33)=0,V$10&lt;=$J33)),$H33,""))</f>
        <v/>
      </c>
      <c r="W33" s="35">
        <f>IF(OR($H33="",$G33=""),"",IF(AND(W$10&gt;=$G33,OR(N($F33)=0,W$10&lt;=$J33)),$H33,""))</f>
        <v/>
      </c>
      <c r="X33" s="35">
        <f>IF(OR($H33="",$G33=""),"",IF(AND(X$10&gt;=$G33,OR(N($F33)=0,X$10&lt;=$J33)),$H33,""))</f>
        <v/>
      </c>
      <c r="Y33" s="35">
        <f>IF(OR($H33="",$G33=""),"",IF(AND(Y$10&gt;=$G33,OR(N($F33)=0,Y$10&lt;=$J33)),$H33,""))</f>
        <v/>
      </c>
      <c r="Z33">
        <f>IF(OR(J33="",D33="Caixinha"),0,H33*MAX(0,(YEAR(J33)*12+MONTH(J33))-MAX((YEAR(G33)*12+MONTH(G33)),(YEAR(sel)*12+MONTH(sel)))+1))</f>
        <v/>
      </c>
    </row>
    <row r="34">
      <c r="A34" s="30">
        <f>IF(B34="","",IF(G34="","Falta 1º mês",IF(N(F34)=0,"Fixo",IF(J34&lt;$K$10,"Quitado",IF(J34=sel,"Última parcela","Ativo")))))</f>
        <v/>
      </c>
      <c r="B34" s="31" t="n"/>
      <c r="C34" s="31" t="n"/>
      <c r="D34" s="31" t="n"/>
      <c r="E34" s="32" t="n"/>
      <c r="F34" s="33" t="n"/>
      <c r="G34" s="34" t="n"/>
      <c r="H34" s="35">
        <f>IF(OR(B34="",E34=""),"",IF(N(F34)=0,E34,E34/F34))</f>
        <v/>
      </c>
      <c r="I34" s="35">
        <f>IF(J34="",0,H34*MAX(0,(YEAR(J34)*12+MONTH(J34))-MAX((YEAR(G34)*12+MONTH(G34)),(YEAR($K$10)*12+MONTH($K$10)))+1))</f>
        <v/>
      </c>
      <c r="J34" s="36">
        <f>IF(OR(H34="",G34="",N(F34)=0),"",DATE(YEAR(G34),MONTH(G34)+F34-1,1))</f>
        <v/>
      </c>
      <c r="K34" s="35">
        <f>IF(OR($H34="",$G34=""),"",IF(AND(K$10&gt;=$G34,OR(N($F34)=0,K$10&lt;=$J34)),$H34,""))</f>
        <v/>
      </c>
      <c r="L34" s="35">
        <f>IF(OR($H34="",$G34=""),"",IF(AND(L$10&gt;=$G34,OR(N($F34)=0,L$10&lt;=$J34)),$H34,""))</f>
        <v/>
      </c>
      <c r="M34" s="35">
        <f>IF(OR($H34="",$G34=""),"",IF(AND(M$10&gt;=$G34,OR(N($F34)=0,M$10&lt;=$J34)),$H34,""))</f>
        <v/>
      </c>
      <c r="N34" s="35">
        <f>IF(OR($H34="",$G34=""),"",IF(AND(N$10&gt;=$G34,OR(N($F34)=0,N$10&lt;=$J34)),$H34,""))</f>
        <v/>
      </c>
      <c r="O34" s="35">
        <f>IF(OR($H34="",$G34=""),"",IF(AND(O$10&gt;=$G34,OR(N($F34)=0,O$10&lt;=$J34)),$H34,""))</f>
        <v/>
      </c>
      <c r="P34" s="35">
        <f>IF(OR($H34="",$G34=""),"",IF(AND(P$10&gt;=$G34,OR(N($F34)=0,P$10&lt;=$J34)),$H34,""))</f>
        <v/>
      </c>
      <c r="Q34" s="35">
        <f>IF(OR($H34="",$G34=""),"",IF(AND(Q$10&gt;=$G34,OR(N($F34)=0,Q$10&lt;=$J34)),$H34,""))</f>
        <v/>
      </c>
      <c r="R34" s="35">
        <f>IF(OR($H34="",$G34=""),"",IF(AND(R$10&gt;=$G34,OR(N($F34)=0,R$10&lt;=$J34)),$H34,""))</f>
        <v/>
      </c>
      <c r="S34" s="35">
        <f>IF(OR($H34="",$G34=""),"",IF(AND(S$10&gt;=$G34,OR(N($F34)=0,S$10&lt;=$J34)),$H34,""))</f>
        <v/>
      </c>
      <c r="T34" s="35">
        <f>IF(OR($H34="",$G34=""),"",IF(AND(T$10&gt;=$G34,OR(N($F34)=0,T$10&lt;=$J34)),$H34,""))</f>
        <v/>
      </c>
      <c r="U34" s="35">
        <f>IF(OR($H34="",$G34=""),"",IF(AND(U$10&gt;=$G34,OR(N($F34)=0,U$10&lt;=$J34)),$H34,""))</f>
        <v/>
      </c>
      <c r="V34" s="35">
        <f>IF(OR($H34="",$G34=""),"",IF(AND(V$10&gt;=$G34,OR(N($F34)=0,V$10&lt;=$J34)),$H34,""))</f>
        <v/>
      </c>
      <c r="W34" s="35">
        <f>IF(OR($H34="",$G34=""),"",IF(AND(W$10&gt;=$G34,OR(N($F34)=0,W$10&lt;=$J34)),$H34,""))</f>
        <v/>
      </c>
      <c r="X34" s="35">
        <f>IF(OR($H34="",$G34=""),"",IF(AND(X$10&gt;=$G34,OR(N($F34)=0,X$10&lt;=$J34)),$H34,""))</f>
        <v/>
      </c>
      <c r="Y34" s="35">
        <f>IF(OR($H34="",$G34=""),"",IF(AND(Y$10&gt;=$G34,OR(N($F34)=0,Y$10&lt;=$J34)),$H34,""))</f>
        <v/>
      </c>
      <c r="Z34">
        <f>IF(OR(J34="",D34="Caixinha"),0,H34*MAX(0,(YEAR(J34)*12+MONTH(J34))-MAX((YEAR(G34)*12+MONTH(G34)),(YEAR(sel)*12+MONTH(sel)))+1))</f>
        <v/>
      </c>
    </row>
    <row r="35">
      <c r="A35" s="30">
        <f>IF(B35="","",IF(G35="","Falta 1º mês",IF(N(F35)=0,"Fixo",IF(J35&lt;$K$10,"Quitado",IF(J35=sel,"Última parcela","Ativo")))))</f>
        <v/>
      </c>
      <c r="B35" s="31" t="n"/>
      <c r="C35" s="31" t="n"/>
      <c r="D35" s="31" t="n"/>
      <c r="E35" s="32" t="n"/>
      <c r="F35" s="33" t="n"/>
      <c r="G35" s="34" t="n"/>
      <c r="H35" s="35">
        <f>IF(OR(B35="",E35=""),"",IF(N(F35)=0,E35,E35/F35))</f>
        <v/>
      </c>
      <c r="I35" s="35">
        <f>IF(J35="",0,H35*MAX(0,(YEAR(J35)*12+MONTH(J35))-MAX((YEAR(G35)*12+MONTH(G35)),(YEAR($K$10)*12+MONTH($K$10)))+1))</f>
        <v/>
      </c>
      <c r="J35" s="36">
        <f>IF(OR(H35="",G35="",N(F35)=0),"",DATE(YEAR(G35),MONTH(G35)+F35-1,1))</f>
        <v/>
      </c>
      <c r="K35" s="35">
        <f>IF(OR($H35="",$G35=""),"",IF(AND(K$10&gt;=$G35,OR(N($F35)=0,K$10&lt;=$J35)),$H35,""))</f>
        <v/>
      </c>
      <c r="L35" s="35">
        <f>IF(OR($H35="",$G35=""),"",IF(AND(L$10&gt;=$G35,OR(N($F35)=0,L$10&lt;=$J35)),$H35,""))</f>
        <v/>
      </c>
      <c r="M35" s="35">
        <f>IF(OR($H35="",$G35=""),"",IF(AND(M$10&gt;=$G35,OR(N($F35)=0,M$10&lt;=$J35)),$H35,""))</f>
        <v/>
      </c>
      <c r="N35" s="35">
        <f>IF(OR($H35="",$G35=""),"",IF(AND(N$10&gt;=$G35,OR(N($F35)=0,N$10&lt;=$J35)),$H35,""))</f>
        <v/>
      </c>
      <c r="O35" s="35">
        <f>IF(OR($H35="",$G35=""),"",IF(AND(O$10&gt;=$G35,OR(N($F35)=0,O$10&lt;=$J35)),$H35,""))</f>
        <v/>
      </c>
      <c r="P35" s="35">
        <f>IF(OR($H35="",$G35=""),"",IF(AND(P$10&gt;=$G35,OR(N($F35)=0,P$10&lt;=$J35)),$H35,""))</f>
        <v/>
      </c>
      <c r="Q35" s="35">
        <f>IF(OR($H35="",$G35=""),"",IF(AND(Q$10&gt;=$G35,OR(N($F35)=0,Q$10&lt;=$J35)),$H35,""))</f>
        <v/>
      </c>
      <c r="R35" s="35">
        <f>IF(OR($H35="",$G35=""),"",IF(AND(R$10&gt;=$G35,OR(N($F35)=0,R$10&lt;=$J35)),$H35,""))</f>
        <v/>
      </c>
      <c r="S35" s="35">
        <f>IF(OR($H35="",$G35=""),"",IF(AND(S$10&gt;=$G35,OR(N($F35)=0,S$10&lt;=$J35)),$H35,""))</f>
        <v/>
      </c>
      <c r="T35" s="35">
        <f>IF(OR($H35="",$G35=""),"",IF(AND(T$10&gt;=$G35,OR(N($F35)=0,T$10&lt;=$J35)),$H35,""))</f>
        <v/>
      </c>
      <c r="U35" s="35">
        <f>IF(OR($H35="",$G35=""),"",IF(AND(U$10&gt;=$G35,OR(N($F35)=0,U$10&lt;=$J35)),$H35,""))</f>
        <v/>
      </c>
      <c r="V35" s="35">
        <f>IF(OR($H35="",$G35=""),"",IF(AND(V$10&gt;=$G35,OR(N($F35)=0,V$10&lt;=$J35)),$H35,""))</f>
        <v/>
      </c>
      <c r="W35" s="35">
        <f>IF(OR($H35="",$G35=""),"",IF(AND(W$10&gt;=$G35,OR(N($F35)=0,W$10&lt;=$J35)),$H35,""))</f>
        <v/>
      </c>
      <c r="X35" s="35">
        <f>IF(OR($H35="",$G35=""),"",IF(AND(X$10&gt;=$G35,OR(N($F35)=0,X$10&lt;=$J35)),$H35,""))</f>
        <v/>
      </c>
      <c r="Y35" s="35">
        <f>IF(OR($H35="",$G35=""),"",IF(AND(Y$10&gt;=$G35,OR(N($F35)=0,Y$10&lt;=$J35)),$H35,""))</f>
        <v/>
      </c>
      <c r="Z35">
        <f>IF(OR(J35="",D35="Caixinha"),0,H35*MAX(0,(YEAR(J35)*12+MONTH(J35))-MAX((YEAR(G35)*12+MONTH(G35)),(YEAR(sel)*12+MONTH(sel)))+1))</f>
        <v/>
      </c>
    </row>
    <row r="36">
      <c r="A36" s="30">
        <f>IF(B36="","",IF(G36="","Falta 1º mês",IF(N(F36)=0,"Fixo",IF(J36&lt;$K$10,"Quitado",IF(J36=sel,"Última parcela","Ativo")))))</f>
        <v/>
      </c>
      <c r="B36" s="31" t="n"/>
      <c r="C36" s="31" t="n"/>
      <c r="D36" s="31" t="n"/>
      <c r="E36" s="32" t="n"/>
      <c r="F36" s="33" t="n"/>
      <c r="G36" s="34" t="n"/>
      <c r="H36" s="35">
        <f>IF(OR(B36="",E36=""),"",IF(N(F36)=0,E36,E36/F36))</f>
        <v/>
      </c>
      <c r="I36" s="35">
        <f>IF(J36="",0,H36*MAX(0,(YEAR(J36)*12+MONTH(J36))-MAX((YEAR(G36)*12+MONTH(G36)),(YEAR($K$10)*12+MONTH($K$10)))+1))</f>
        <v/>
      </c>
      <c r="J36" s="36">
        <f>IF(OR(H36="",G36="",N(F36)=0),"",DATE(YEAR(G36),MONTH(G36)+F36-1,1))</f>
        <v/>
      </c>
      <c r="K36" s="35">
        <f>IF(OR($H36="",$G36=""),"",IF(AND(K$10&gt;=$G36,OR(N($F36)=0,K$10&lt;=$J36)),$H36,""))</f>
        <v/>
      </c>
      <c r="L36" s="35">
        <f>IF(OR($H36="",$G36=""),"",IF(AND(L$10&gt;=$G36,OR(N($F36)=0,L$10&lt;=$J36)),$H36,""))</f>
        <v/>
      </c>
      <c r="M36" s="35">
        <f>IF(OR($H36="",$G36=""),"",IF(AND(M$10&gt;=$G36,OR(N($F36)=0,M$10&lt;=$J36)),$H36,""))</f>
        <v/>
      </c>
      <c r="N36" s="35">
        <f>IF(OR($H36="",$G36=""),"",IF(AND(N$10&gt;=$G36,OR(N($F36)=0,N$10&lt;=$J36)),$H36,""))</f>
        <v/>
      </c>
      <c r="O36" s="35">
        <f>IF(OR($H36="",$G36=""),"",IF(AND(O$10&gt;=$G36,OR(N($F36)=0,O$10&lt;=$J36)),$H36,""))</f>
        <v/>
      </c>
      <c r="P36" s="35">
        <f>IF(OR($H36="",$G36=""),"",IF(AND(P$10&gt;=$G36,OR(N($F36)=0,P$10&lt;=$J36)),$H36,""))</f>
        <v/>
      </c>
      <c r="Q36" s="35">
        <f>IF(OR($H36="",$G36=""),"",IF(AND(Q$10&gt;=$G36,OR(N($F36)=0,Q$10&lt;=$J36)),$H36,""))</f>
        <v/>
      </c>
      <c r="R36" s="35">
        <f>IF(OR($H36="",$G36=""),"",IF(AND(R$10&gt;=$G36,OR(N($F36)=0,R$10&lt;=$J36)),$H36,""))</f>
        <v/>
      </c>
      <c r="S36" s="35">
        <f>IF(OR($H36="",$G36=""),"",IF(AND(S$10&gt;=$G36,OR(N($F36)=0,S$10&lt;=$J36)),$H36,""))</f>
        <v/>
      </c>
      <c r="T36" s="35">
        <f>IF(OR($H36="",$G36=""),"",IF(AND(T$10&gt;=$G36,OR(N($F36)=0,T$10&lt;=$J36)),$H36,""))</f>
        <v/>
      </c>
      <c r="U36" s="35">
        <f>IF(OR($H36="",$G36=""),"",IF(AND(U$10&gt;=$G36,OR(N($F36)=0,U$10&lt;=$J36)),$H36,""))</f>
        <v/>
      </c>
      <c r="V36" s="35">
        <f>IF(OR($H36="",$G36=""),"",IF(AND(V$10&gt;=$G36,OR(N($F36)=0,V$10&lt;=$J36)),$H36,""))</f>
        <v/>
      </c>
      <c r="W36" s="35">
        <f>IF(OR($H36="",$G36=""),"",IF(AND(W$10&gt;=$G36,OR(N($F36)=0,W$10&lt;=$J36)),$H36,""))</f>
        <v/>
      </c>
      <c r="X36" s="35">
        <f>IF(OR($H36="",$G36=""),"",IF(AND(X$10&gt;=$G36,OR(N($F36)=0,X$10&lt;=$J36)),$H36,""))</f>
        <v/>
      </c>
      <c r="Y36" s="35">
        <f>IF(OR($H36="",$G36=""),"",IF(AND(Y$10&gt;=$G36,OR(N($F36)=0,Y$10&lt;=$J36)),$H36,""))</f>
        <v/>
      </c>
      <c r="Z36">
        <f>IF(OR(J36="",D36="Caixinha"),0,H36*MAX(0,(YEAR(J36)*12+MONTH(J36))-MAX((YEAR(G36)*12+MONTH(G36)),(YEAR(sel)*12+MONTH(sel)))+1))</f>
        <v/>
      </c>
    </row>
    <row r="37">
      <c r="A37" s="30">
        <f>IF(B37="","",IF(G37="","Falta 1º mês",IF(N(F37)=0,"Fixo",IF(J37&lt;$K$10,"Quitado",IF(J37=sel,"Última parcela","Ativo")))))</f>
        <v/>
      </c>
      <c r="B37" s="31" t="n"/>
      <c r="C37" s="31" t="n"/>
      <c r="D37" s="31" t="n"/>
      <c r="E37" s="32" t="n"/>
      <c r="F37" s="33" t="n"/>
      <c r="G37" s="34" t="n"/>
      <c r="H37" s="35">
        <f>IF(OR(B37="",E37=""),"",IF(N(F37)=0,E37,E37/F37))</f>
        <v/>
      </c>
      <c r="I37" s="35">
        <f>IF(J37="",0,H37*MAX(0,(YEAR(J37)*12+MONTH(J37))-MAX((YEAR(G37)*12+MONTH(G37)),(YEAR($K$10)*12+MONTH($K$10)))+1))</f>
        <v/>
      </c>
      <c r="J37" s="36">
        <f>IF(OR(H37="",G37="",N(F37)=0),"",DATE(YEAR(G37),MONTH(G37)+F37-1,1))</f>
        <v/>
      </c>
      <c r="K37" s="35">
        <f>IF(OR($H37="",$G37=""),"",IF(AND(K$10&gt;=$G37,OR(N($F37)=0,K$10&lt;=$J37)),$H37,""))</f>
        <v/>
      </c>
      <c r="L37" s="35">
        <f>IF(OR($H37="",$G37=""),"",IF(AND(L$10&gt;=$G37,OR(N($F37)=0,L$10&lt;=$J37)),$H37,""))</f>
        <v/>
      </c>
      <c r="M37" s="35">
        <f>IF(OR($H37="",$G37=""),"",IF(AND(M$10&gt;=$G37,OR(N($F37)=0,M$10&lt;=$J37)),$H37,""))</f>
        <v/>
      </c>
      <c r="N37" s="35">
        <f>IF(OR($H37="",$G37=""),"",IF(AND(N$10&gt;=$G37,OR(N($F37)=0,N$10&lt;=$J37)),$H37,""))</f>
        <v/>
      </c>
      <c r="O37" s="35">
        <f>IF(OR($H37="",$G37=""),"",IF(AND(O$10&gt;=$G37,OR(N($F37)=0,O$10&lt;=$J37)),$H37,""))</f>
        <v/>
      </c>
      <c r="P37" s="35">
        <f>IF(OR($H37="",$G37=""),"",IF(AND(P$10&gt;=$G37,OR(N($F37)=0,P$10&lt;=$J37)),$H37,""))</f>
        <v/>
      </c>
      <c r="Q37" s="35">
        <f>IF(OR($H37="",$G37=""),"",IF(AND(Q$10&gt;=$G37,OR(N($F37)=0,Q$10&lt;=$J37)),$H37,""))</f>
        <v/>
      </c>
      <c r="R37" s="35">
        <f>IF(OR($H37="",$G37=""),"",IF(AND(R$10&gt;=$G37,OR(N($F37)=0,R$10&lt;=$J37)),$H37,""))</f>
        <v/>
      </c>
      <c r="S37" s="35">
        <f>IF(OR($H37="",$G37=""),"",IF(AND(S$10&gt;=$G37,OR(N($F37)=0,S$10&lt;=$J37)),$H37,""))</f>
        <v/>
      </c>
      <c r="T37" s="35">
        <f>IF(OR($H37="",$G37=""),"",IF(AND(T$10&gt;=$G37,OR(N($F37)=0,T$10&lt;=$J37)),$H37,""))</f>
        <v/>
      </c>
      <c r="U37" s="35">
        <f>IF(OR($H37="",$G37=""),"",IF(AND(U$10&gt;=$G37,OR(N($F37)=0,U$10&lt;=$J37)),$H37,""))</f>
        <v/>
      </c>
      <c r="V37" s="35">
        <f>IF(OR($H37="",$G37=""),"",IF(AND(V$10&gt;=$G37,OR(N($F37)=0,V$10&lt;=$J37)),$H37,""))</f>
        <v/>
      </c>
      <c r="W37" s="35">
        <f>IF(OR($H37="",$G37=""),"",IF(AND(W$10&gt;=$G37,OR(N($F37)=0,W$10&lt;=$J37)),$H37,""))</f>
        <v/>
      </c>
      <c r="X37" s="35">
        <f>IF(OR($H37="",$G37=""),"",IF(AND(X$10&gt;=$G37,OR(N($F37)=0,X$10&lt;=$J37)),$H37,""))</f>
        <v/>
      </c>
      <c r="Y37" s="35">
        <f>IF(OR($H37="",$G37=""),"",IF(AND(Y$10&gt;=$G37,OR(N($F37)=0,Y$10&lt;=$J37)),$H37,""))</f>
        <v/>
      </c>
      <c r="Z37">
        <f>IF(OR(J37="",D37="Caixinha"),0,H37*MAX(0,(YEAR(J37)*12+MONTH(J37))-MAX((YEAR(G37)*12+MONTH(G37)),(YEAR(sel)*12+MONTH(sel)))+1))</f>
        <v/>
      </c>
    </row>
    <row r="38">
      <c r="A38" s="30">
        <f>IF(B38="","",IF(G38="","Falta 1º mês",IF(N(F38)=0,"Fixo",IF(J38&lt;$K$10,"Quitado",IF(J38=sel,"Última parcela","Ativo")))))</f>
        <v/>
      </c>
      <c r="B38" s="31" t="n"/>
      <c r="C38" s="31" t="n"/>
      <c r="D38" s="31" t="n"/>
      <c r="E38" s="32" t="n"/>
      <c r="F38" s="33" t="n"/>
      <c r="G38" s="34" t="n"/>
      <c r="H38" s="35">
        <f>IF(OR(B38="",E38=""),"",IF(N(F38)=0,E38,E38/F38))</f>
        <v/>
      </c>
      <c r="I38" s="35">
        <f>IF(J38="",0,H38*MAX(0,(YEAR(J38)*12+MONTH(J38))-MAX((YEAR(G38)*12+MONTH(G38)),(YEAR($K$10)*12+MONTH($K$10)))+1))</f>
        <v/>
      </c>
      <c r="J38" s="36">
        <f>IF(OR(H38="",G38="",N(F38)=0),"",DATE(YEAR(G38),MONTH(G38)+F38-1,1))</f>
        <v/>
      </c>
      <c r="K38" s="35">
        <f>IF(OR($H38="",$G38=""),"",IF(AND(K$10&gt;=$G38,OR(N($F38)=0,K$10&lt;=$J38)),$H38,""))</f>
        <v/>
      </c>
      <c r="L38" s="35">
        <f>IF(OR($H38="",$G38=""),"",IF(AND(L$10&gt;=$G38,OR(N($F38)=0,L$10&lt;=$J38)),$H38,""))</f>
        <v/>
      </c>
      <c r="M38" s="35">
        <f>IF(OR($H38="",$G38=""),"",IF(AND(M$10&gt;=$G38,OR(N($F38)=0,M$10&lt;=$J38)),$H38,""))</f>
        <v/>
      </c>
      <c r="N38" s="35">
        <f>IF(OR($H38="",$G38=""),"",IF(AND(N$10&gt;=$G38,OR(N($F38)=0,N$10&lt;=$J38)),$H38,""))</f>
        <v/>
      </c>
      <c r="O38" s="35">
        <f>IF(OR($H38="",$G38=""),"",IF(AND(O$10&gt;=$G38,OR(N($F38)=0,O$10&lt;=$J38)),$H38,""))</f>
        <v/>
      </c>
      <c r="P38" s="35">
        <f>IF(OR($H38="",$G38=""),"",IF(AND(P$10&gt;=$G38,OR(N($F38)=0,P$10&lt;=$J38)),$H38,""))</f>
        <v/>
      </c>
      <c r="Q38" s="35">
        <f>IF(OR($H38="",$G38=""),"",IF(AND(Q$10&gt;=$G38,OR(N($F38)=0,Q$10&lt;=$J38)),$H38,""))</f>
        <v/>
      </c>
      <c r="R38" s="35">
        <f>IF(OR($H38="",$G38=""),"",IF(AND(R$10&gt;=$G38,OR(N($F38)=0,R$10&lt;=$J38)),$H38,""))</f>
        <v/>
      </c>
      <c r="S38" s="35">
        <f>IF(OR($H38="",$G38=""),"",IF(AND(S$10&gt;=$G38,OR(N($F38)=0,S$10&lt;=$J38)),$H38,""))</f>
        <v/>
      </c>
      <c r="T38" s="35">
        <f>IF(OR($H38="",$G38=""),"",IF(AND(T$10&gt;=$G38,OR(N($F38)=0,T$10&lt;=$J38)),$H38,""))</f>
        <v/>
      </c>
      <c r="U38" s="35">
        <f>IF(OR($H38="",$G38=""),"",IF(AND(U$10&gt;=$G38,OR(N($F38)=0,U$10&lt;=$J38)),$H38,""))</f>
        <v/>
      </c>
      <c r="V38" s="35">
        <f>IF(OR($H38="",$G38=""),"",IF(AND(V$10&gt;=$G38,OR(N($F38)=0,V$10&lt;=$J38)),$H38,""))</f>
        <v/>
      </c>
      <c r="W38" s="35">
        <f>IF(OR($H38="",$G38=""),"",IF(AND(W$10&gt;=$G38,OR(N($F38)=0,W$10&lt;=$J38)),$H38,""))</f>
        <v/>
      </c>
      <c r="X38" s="35">
        <f>IF(OR($H38="",$G38=""),"",IF(AND(X$10&gt;=$G38,OR(N($F38)=0,X$10&lt;=$J38)),$H38,""))</f>
        <v/>
      </c>
      <c r="Y38" s="35">
        <f>IF(OR($H38="",$G38=""),"",IF(AND(Y$10&gt;=$G38,OR(N($F38)=0,Y$10&lt;=$J38)),$H38,""))</f>
        <v/>
      </c>
      <c r="Z38">
        <f>IF(OR(J38="",D38="Caixinha"),0,H38*MAX(0,(YEAR(J38)*12+MONTH(J38))-MAX((YEAR(G38)*12+MONTH(G38)),(YEAR(sel)*12+MONTH(sel)))+1))</f>
        <v/>
      </c>
    </row>
    <row r="39">
      <c r="A39" s="30">
        <f>IF(B39="","",IF(G39="","Falta 1º mês",IF(N(F39)=0,"Fixo",IF(J39&lt;$K$10,"Quitado",IF(J39=sel,"Última parcela","Ativo")))))</f>
        <v/>
      </c>
      <c r="B39" s="31" t="n"/>
      <c r="C39" s="31" t="n"/>
      <c r="D39" s="31" t="n"/>
      <c r="E39" s="32" t="n"/>
      <c r="F39" s="33" t="n"/>
      <c r="G39" s="34" t="n"/>
      <c r="H39" s="35">
        <f>IF(OR(B39="",E39=""),"",IF(N(F39)=0,E39,E39/F39))</f>
        <v/>
      </c>
      <c r="I39" s="35">
        <f>IF(J39="",0,H39*MAX(0,(YEAR(J39)*12+MONTH(J39))-MAX((YEAR(G39)*12+MONTH(G39)),(YEAR($K$10)*12+MONTH($K$10)))+1))</f>
        <v/>
      </c>
      <c r="J39" s="36">
        <f>IF(OR(H39="",G39="",N(F39)=0),"",DATE(YEAR(G39),MONTH(G39)+F39-1,1))</f>
        <v/>
      </c>
      <c r="K39" s="35">
        <f>IF(OR($H39="",$G39=""),"",IF(AND(K$10&gt;=$G39,OR(N($F39)=0,K$10&lt;=$J39)),$H39,""))</f>
        <v/>
      </c>
      <c r="L39" s="35">
        <f>IF(OR($H39="",$G39=""),"",IF(AND(L$10&gt;=$G39,OR(N($F39)=0,L$10&lt;=$J39)),$H39,""))</f>
        <v/>
      </c>
      <c r="M39" s="35">
        <f>IF(OR($H39="",$G39=""),"",IF(AND(M$10&gt;=$G39,OR(N($F39)=0,M$10&lt;=$J39)),$H39,""))</f>
        <v/>
      </c>
      <c r="N39" s="35">
        <f>IF(OR($H39="",$G39=""),"",IF(AND(N$10&gt;=$G39,OR(N($F39)=0,N$10&lt;=$J39)),$H39,""))</f>
        <v/>
      </c>
      <c r="O39" s="35">
        <f>IF(OR($H39="",$G39=""),"",IF(AND(O$10&gt;=$G39,OR(N($F39)=0,O$10&lt;=$J39)),$H39,""))</f>
        <v/>
      </c>
      <c r="P39" s="35">
        <f>IF(OR($H39="",$G39=""),"",IF(AND(P$10&gt;=$G39,OR(N($F39)=0,P$10&lt;=$J39)),$H39,""))</f>
        <v/>
      </c>
      <c r="Q39" s="35">
        <f>IF(OR($H39="",$G39=""),"",IF(AND(Q$10&gt;=$G39,OR(N($F39)=0,Q$10&lt;=$J39)),$H39,""))</f>
        <v/>
      </c>
      <c r="R39" s="35">
        <f>IF(OR($H39="",$G39=""),"",IF(AND(R$10&gt;=$G39,OR(N($F39)=0,R$10&lt;=$J39)),$H39,""))</f>
        <v/>
      </c>
      <c r="S39" s="35">
        <f>IF(OR($H39="",$G39=""),"",IF(AND(S$10&gt;=$G39,OR(N($F39)=0,S$10&lt;=$J39)),$H39,""))</f>
        <v/>
      </c>
      <c r="T39" s="35">
        <f>IF(OR($H39="",$G39=""),"",IF(AND(T$10&gt;=$G39,OR(N($F39)=0,T$10&lt;=$J39)),$H39,""))</f>
        <v/>
      </c>
      <c r="U39" s="35">
        <f>IF(OR($H39="",$G39=""),"",IF(AND(U$10&gt;=$G39,OR(N($F39)=0,U$10&lt;=$J39)),$H39,""))</f>
        <v/>
      </c>
      <c r="V39" s="35">
        <f>IF(OR($H39="",$G39=""),"",IF(AND(V$10&gt;=$G39,OR(N($F39)=0,V$10&lt;=$J39)),$H39,""))</f>
        <v/>
      </c>
      <c r="W39" s="35">
        <f>IF(OR($H39="",$G39=""),"",IF(AND(W$10&gt;=$G39,OR(N($F39)=0,W$10&lt;=$J39)),$H39,""))</f>
        <v/>
      </c>
      <c r="X39" s="35">
        <f>IF(OR($H39="",$G39=""),"",IF(AND(X$10&gt;=$G39,OR(N($F39)=0,X$10&lt;=$J39)),$H39,""))</f>
        <v/>
      </c>
      <c r="Y39" s="35">
        <f>IF(OR($H39="",$G39=""),"",IF(AND(Y$10&gt;=$G39,OR(N($F39)=0,Y$10&lt;=$J39)),$H39,""))</f>
        <v/>
      </c>
      <c r="Z39">
        <f>IF(OR(J39="",D39="Caixinha"),0,H39*MAX(0,(YEAR(J39)*12+MONTH(J39))-MAX((YEAR(G39)*12+MONTH(G39)),(YEAR(sel)*12+MONTH(sel)))+1))</f>
        <v/>
      </c>
    </row>
    <row r="40">
      <c r="A40" s="30">
        <f>IF(B40="","",IF(G40="","Falta 1º mês",IF(N(F40)=0,"Fixo",IF(J40&lt;$K$10,"Quitado",IF(J40=sel,"Última parcela","Ativo")))))</f>
        <v/>
      </c>
      <c r="B40" s="31" t="n"/>
      <c r="C40" s="31" t="n"/>
      <c r="D40" s="31" t="n"/>
      <c r="E40" s="32" t="n"/>
      <c r="F40" s="33" t="n"/>
      <c r="G40" s="34" t="n"/>
      <c r="H40" s="35">
        <f>IF(OR(B40="",E40=""),"",IF(N(F40)=0,E40,E40/F40))</f>
        <v/>
      </c>
      <c r="I40" s="35">
        <f>IF(J40="",0,H40*MAX(0,(YEAR(J40)*12+MONTH(J40))-MAX((YEAR(G40)*12+MONTH(G40)),(YEAR($K$10)*12+MONTH($K$10)))+1))</f>
        <v/>
      </c>
      <c r="J40" s="36">
        <f>IF(OR(H40="",G40="",N(F40)=0),"",DATE(YEAR(G40),MONTH(G40)+F40-1,1))</f>
        <v/>
      </c>
      <c r="K40" s="35">
        <f>IF(OR($H40="",$G40=""),"",IF(AND(K$10&gt;=$G40,OR(N($F40)=0,K$10&lt;=$J40)),$H40,""))</f>
        <v/>
      </c>
      <c r="L40" s="35">
        <f>IF(OR($H40="",$G40=""),"",IF(AND(L$10&gt;=$G40,OR(N($F40)=0,L$10&lt;=$J40)),$H40,""))</f>
        <v/>
      </c>
      <c r="M40" s="35">
        <f>IF(OR($H40="",$G40=""),"",IF(AND(M$10&gt;=$G40,OR(N($F40)=0,M$10&lt;=$J40)),$H40,""))</f>
        <v/>
      </c>
      <c r="N40" s="35">
        <f>IF(OR($H40="",$G40=""),"",IF(AND(N$10&gt;=$G40,OR(N($F40)=0,N$10&lt;=$J40)),$H40,""))</f>
        <v/>
      </c>
      <c r="O40" s="35">
        <f>IF(OR($H40="",$G40=""),"",IF(AND(O$10&gt;=$G40,OR(N($F40)=0,O$10&lt;=$J40)),$H40,""))</f>
        <v/>
      </c>
      <c r="P40" s="35">
        <f>IF(OR($H40="",$G40=""),"",IF(AND(P$10&gt;=$G40,OR(N($F40)=0,P$10&lt;=$J40)),$H40,""))</f>
        <v/>
      </c>
      <c r="Q40" s="35">
        <f>IF(OR($H40="",$G40=""),"",IF(AND(Q$10&gt;=$G40,OR(N($F40)=0,Q$10&lt;=$J40)),$H40,""))</f>
        <v/>
      </c>
      <c r="R40" s="35">
        <f>IF(OR($H40="",$G40=""),"",IF(AND(R$10&gt;=$G40,OR(N($F40)=0,R$10&lt;=$J40)),$H40,""))</f>
        <v/>
      </c>
      <c r="S40" s="35">
        <f>IF(OR($H40="",$G40=""),"",IF(AND(S$10&gt;=$G40,OR(N($F40)=0,S$10&lt;=$J40)),$H40,""))</f>
        <v/>
      </c>
      <c r="T40" s="35">
        <f>IF(OR($H40="",$G40=""),"",IF(AND(T$10&gt;=$G40,OR(N($F40)=0,T$10&lt;=$J40)),$H40,""))</f>
        <v/>
      </c>
      <c r="U40" s="35">
        <f>IF(OR($H40="",$G40=""),"",IF(AND(U$10&gt;=$G40,OR(N($F40)=0,U$10&lt;=$J40)),$H40,""))</f>
        <v/>
      </c>
      <c r="V40" s="35">
        <f>IF(OR($H40="",$G40=""),"",IF(AND(V$10&gt;=$G40,OR(N($F40)=0,V$10&lt;=$J40)),$H40,""))</f>
        <v/>
      </c>
      <c r="W40" s="35">
        <f>IF(OR($H40="",$G40=""),"",IF(AND(W$10&gt;=$G40,OR(N($F40)=0,W$10&lt;=$J40)),$H40,""))</f>
        <v/>
      </c>
      <c r="X40" s="35">
        <f>IF(OR($H40="",$G40=""),"",IF(AND(X$10&gt;=$G40,OR(N($F40)=0,X$10&lt;=$J40)),$H40,""))</f>
        <v/>
      </c>
      <c r="Y40" s="35">
        <f>IF(OR($H40="",$G40=""),"",IF(AND(Y$10&gt;=$G40,OR(N($F40)=0,Y$10&lt;=$J40)),$H40,""))</f>
        <v/>
      </c>
      <c r="Z40">
        <f>IF(OR(J40="",D40="Caixinha"),0,H40*MAX(0,(YEAR(J40)*12+MONTH(J40))-MAX((YEAR(G40)*12+MONTH(G40)),(YEAR(sel)*12+MONTH(sel)))+1))</f>
        <v/>
      </c>
    </row>
    <row r="41">
      <c r="A41" s="30">
        <f>IF(B41="","",IF(G41="","Falta 1º mês",IF(N(F41)=0,"Fixo",IF(J41&lt;$K$10,"Quitado",IF(J41=sel,"Última parcela","Ativo")))))</f>
        <v/>
      </c>
      <c r="B41" s="31" t="n"/>
      <c r="C41" s="31" t="n"/>
      <c r="D41" s="31" t="n"/>
      <c r="E41" s="32" t="n"/>
      <c r="F41" s="33" t="n"/>
      <c r="G41" s="34" t="n"/>
      <c r="H41" s="35">
        <f>IF(OR(B41="",E41=""),"",IF(N(F41)=0,E41,E41/F41))</f>
        <v/>
      </c>
      <c r="I41" s="35">
        <f>IF(J41="",0,H41*MAX(0,(YEAR(J41)*12+MONTH(J41))-MAX((YEAR(G41)*12+MONTH(G41)),(YEAR($K$10)*12+MONTH($K$10)))+1))</f>
        <v/>
      </c>
      <c r="J41" s="36">
        <f>IF(OR(H41="",G41="",N(F41)=0),"",DATE(YEAR(G41),MONTH(G41)+F41-1,1))</f>
        <v/>
      </c>
      <c r="K41" s="35">
        <f>IF(OR($H41="",$G41=""),"",IF(AND(K$10&gt;=$G41,OR(N($F41)=0,K$10&lt;=$J41)),$H41,""))</f>
        <v/>
      </c>
      <c r="L41" s="35">
        <f>IF(OR($H41="",$G41=""),"",IF(AND(L$10&gt;=$G41,OR(N($F41)=0,L$10&lt;=$J41)),$H41,""))</f>
        <v/>
      </c>
      <c r="M41" s="35">
        <f>IF(OR($H41="",$G41=""),"",IF(AND(M$10&gt;=$G41,OR(N($F41)=0,M$10&lt;=$J41)),$H41,""))</f>
        <v/>
      </c>
      <c r="N41" s="35">
        <f>IF(OR($H41="",$G41=""),"",IF(AND(N$10&gt;=$G41,OR(N($F41)=0,N$10&lt;=$J41)),$H41,""))</f>
        <v/>
      </c>
      <c r="O41" s="35">
        <f>IF(OR($H41="",$G41=""),"",IF(AND(O$10&gt;=$G41,OR(N($F41)=0,O$10&lt;=$J41)),$H41,""))</f>
        <v/>
      </c>
      <c r="P41" s="35">
        <f>IF(OR($H41="",$G41=""),"",IF(AND(P$10&gt;=$G41,OR(N($F41)=0,P$10&lt;=$J41)),$H41,""))</f>
        <v/>
      </c>
      <c r="Q41" s="35">
        <f>IF(OR($H41="",$G41=""),"",IF(AND(Q$10&gt;=$G41,OR(N($F41)=0,Q$10&lt;=$J41)),$H41,""))</f>
        <v/>
      </c>
      <c r="R41" s="35">
        <f>IF(OR($H41="",$G41=""),"",IF(AND(R$10&gt;=$G41,OR(N($F41)=0,R$10&lt;=$J41)),$H41,""))</f>
        <v/>
      </c>
      <c r="S41" s="35">
        <f>IF(OR($H41="",$G41=""),"",IF(AND(S$10&gt;=$G41,OR(N($F41)=0,S$10&lt;=$J41)),$H41,""))</f>
        <v/>
      </c>
      <c r="T41" s="35">
        <f>IF(OR($H41="",$G41=""),"",IF(AND(T$10&gt;=$G41,OR(N($F41)=0,T$10&lt;=$J41)),$H41,""))</f>
        <v/>
      </c>
      <c r="U41" s="35">
        <f>IF(OR($H41="",$G41=""),"",IF(AND(U$10&gt;=$G41,OR(N($F41)=0,U$10&lt;=$J41)),$H41,""))</f>
        <v/>
      </c>
      <c r="V41" s="35">
        <f>IF(OR($H41="",$G41=""),"",IF(AND(V$10&gt;=$G41,OR(N($F41)=0,V$10&lt;=$J41)),$H41,""))</f>
        <v/>
      </c>
      <c r="W41" s="35">
        <f>IF(OR($H41="",$G41=""),"",IF(AND(W$10&gt;=$G41,OR(N($F41)=0,W$10&lt;=$J41)),$H41,""))</f>
        <v/>
      </c>
      <c r="X41" s="35">
        <f>IF(OR($H41="",$G41=""),"",IF(AND(X$10&gt;=$G41,OR(N($F41)=0,X$10&lt;=$J41)),$H41,""))</f>
        <v/>
      </c>
      <c r="Y41" s="35">
        <f>IF(OR($H41="",$G41=""),"",IF(AND(Y$10&gt;=$G41,OR(N($F41)=0,Y$10&lt;=$J41)),$H41,""))</f>
        <v/>
      </c>
      <c r="Z41">
        <f>IF(OR(J41="",D41="Caixinha"),0,H41*MAX(0,(YEAR(J41)*12+MONTH(J41))-MAX((YEAR(G41)*12+MONTH(G41)),(YEAR(sel)*12+MONTH(sel)))+1))</f>
        <v/>
      </c>
    </row>
    <row r="42">
      <c r="A42" s="30">
        <f>IF(B42="","",IF(G42="","Falta 1º mês",IF(N(F42)=0,"Fixo",IF(J42&lt;$K$10,"Quitado",IF(J42=sel,"Última parcela","Ativo")))))</f>
        <v/>
      </c>
      <c r="B42" s="31" t="n"/>
      <c r="C42" s="31" t="n"/>
      <c r="D42" s="31" t="n"/>
      <c r="E42" s="32" t="n"/>
      <c r="F42" s="33" t="n"/>
      <c r="G42" s="34" t="n"/>
      <c r="H42" s="35">
        <f>IF(OR(B42="",E42=""),"",IF(N(F42)=0,E42,E42/F42))</f>
        <v/>
      </c>
      <c r="I42" s="35">
        <f>IF(J42="",0,H42*MAX(0,(YEAR(J42)*12+MONTH(J42))-MAX((YEAR(G42)*12+MONTH(G42)),(YEAR($K$10)*12+MONTH($K$10)))+1))</f>
        <v/>
      </c>
      <c r="J42" s="36">
        <f>IF(OR(H42="",G42="",N(F42)=0),"",DATE(YEAR(G42),MONTH(G42)+F42-1,1))</f>
        <v/>
      </c>
      <c r="K42" s="35">
        <f>IF(OR($H42="",$G42=""),"",IF(AND(K$10&gt;=$G42,OR(N($F42)=0,K$10&lt;=$J42)),$H42,""))</f>
        <v/>
      </c>
      <c r="L42" s="35">
        <f>IF(OR($H42="",$G42=""),"",IF(AND(L$10&gt;=$G42,OR(N($F42)=0,L$10&lt;=$J42)),$H42,""))</f>
        <v/>
      </c>
      <c r="M42" s="35">
        <f>IF(OR($H42="",$G42=""),"",IF(AND(M$10&gt;=$G42,OR(N($F42)=0,M$10&lt;=$J42)),$H42,""))</f>
        <v/>
      </c>
      <c r="N42" s="35">
        <f>IF(OR($H42="",$G42=""),"",IF(AND(N$10&gt;=$G42,OR(N($F42)=0,N$10&lt;=$J42)),$H42,""))</f>
        <v/>
      </c>
      <c r="O42" s="35">
        <f>IF(OR($H42="",$G42=""),"",IF(AND(O$10&gt;=$G42,OR(N($F42)=0,O$10&lt;=$J42)),$H42,""))</f>
        <v/>
      </c>
      <c r="P42" s="35">
        <f>IF(OR($H42="",$G42=""),"",IF(AND(P$10&gt;=$G42,OR(N($F42)=0,P$10&lt;=$J42)),$H42,""))</f>
        <v/>
      </c>
      <c r="Q42" s="35">
        <f>IF(OR($H42="",$G42=""),"",IF(AND(Q$10&gt;=$G42,OR(N($F42)=0,Q$10&lt;=$J42)),$H42,""))</f>
        <v/>
      </c>
      <c r="R42" s="35">
        <f>IF(OR($H42="",$G42=""),"",IF(AND(R$10&gt;=$G42,OR(N($F42)=0,R$10&lt;=$J42)),$H42,""))</f>
        <v/>
      </c>
      <c r="S42" s="35">
        <f>IF(OR($H42="",$G42=""),"",IF(AND(S$10&gt;=$G42,OR(N($F42)=0,S$10&lt;=$J42)),$H42,""))</f>
        <v/>
      </c>
      <c r="T42" s="35">
        <f>IF(OR($H42="",$G42=""),"",IF(AND(T$10&gt;=$G42,OR(N($F42)=0,T$10&lt;=$J42)),$H42,""))</f>
        <v/>
      </c>
      <c r="U42" s="35">
        <f>IF(OR($H42="",$G42=""),"",IF(AND(U$10&gt;=$G42,OR(N($F42)=0,U$10&lt;=$J42)),$H42,""))</f>
        <v/>
      </c>
      <c r="V42" s="35">
        <f>IF(OR($H42="",$G42=""),"",IF(AND(V$10&gt;=$G42,OR(N($F42)=0,V$10&lt;=$J42)),$H42,""))</f>
        <v/>
      </c>
      <c r="W42" s="35">
        <f>IF(OR($H42="",$G42=""),"",IF(AND(W$10&gt;=$G42,OR(N($F42)=0,W$10&lt;=$J42)),$H42,""))</f>
        <v/>
      </c>
      <c r="X42" s="35">
        <f>IF(OR($H42="",$G42=""),"",IF(AND(X$10&gt;=$G42,OR(N($F42)=0,X$10&lt;=$J42)),$H42,""))</f>
        <v/>
      </c>
      <c r="Y42" s="35">
        <f>IF(OR($H42="",$G42=""),"",IF(AND(Y$10&gt;=$G42,OR(N($F42)=0,Y$10&lt;=$J42)),$H42,""))</f>
        <v/>
      </c>
      <c r="Z42">
        <f>IF(OR(J42="",D42="Caixinha"),0,H42*MAX(0,(YEAR(J42)*12+MONTH(J42))-MAX((YEAR(G42)*12+MONTH(G42)),(YEAR(sel)*12+MONTH(sel)))+1))</f>
        <v/>
      </c>
    </row>
    <row r="43">
      <c r="A43" s="30">
        <f>IF(B43="","",IF(G43="","Falta 1º mês",IF(N(F43)=0,"Fixo",IF(J43&lt;$K$10,"Quitado",IF(J43=sel,"Última parcela","Ativo")))))</f>
        <v/>
      </c>
      <c r="B43" s="31" t="n"/>
      <c r="C43" s="31" t="n"/>
      <c r="D43" s="31" t="n"/>
      <c r="E43" s="32" t="n"/>
      <c r="F43" s="33" t="n"/>
      <c r="G43" s="34" t="n"/>
      <c r="H43" s="35">
        <f>IF(OR(B43="",E43=""),"",IF(N(F43)=0,E43,E43/F43))</f>
        <v/>
      </c>
      <c r="I43" s="35">
        <f>IF(J43="",0,H43*MAX(0,(YEAR(J43)*12+MONTH(J43))-MAX((YEAR(G43)*12+MONTH(G43)),(YEAR($K$10)*12+MONTH($K$10)))+1))</f>
        <v/>
      </c>
      <c r="J43" s="36">
        <f>IF(OR(H43="",G43="",N(F43)=0),"",DATE(YEAR(G43),MONTH(G43)+F43-1,1))</f>
        <v/>
      </c>
      <c r="K43" s="35">
        <f>IF(OR($H43="",$G43=""),"",IF(AND(K$10&gt;=$G43,OR(N($F43)=0,K$10&lt;=$J43)),$H43,""))</f>
        <v/>
      </c>
      <c r="L43" s="35">
        <f>IF(OR($H43="",$G43=""),"",IF(AND(L$10&gt;=$G43,OR(N($F43)=0,L$10&lt;=$J43)),$H43,""))</f>
        <v/>
      </c>
      <c r="M43" s="35">
        <f>IF(OR($H43="",$G43=""),"",IF(AND(M$10&gt;=$G43,OR(N($F43)=0,M$10&lt;=$J43)),$H43,""))</f>
        <v/>
      </c>
      <c r="N43" s="35">
        <f>IF(OR($H43="",$G43=""),"",IF(AND(N$10&gt;=$G43,OR(N($F43)=0,N$10&lt;=$J43)),$H43,""))</f>
        <v/>
      </c>
      <c r="O43" s="35">
        <f>IF(OR($H43="",$G43=""),"",IF(AND(O$10&gt;=$G43,OR(N($F43)=0,O$10&lt;=$J43)),$H43,""))</f>
        <v/>
      </c>
      <c r="P43" s="35">
        <f>IF(OR($H43="",$G43=""),"",IF(AND(P$10&gt;=$G43,OR(N($F43)=0,P$10&lt;=$J43)),$H43,""))</f>
        <v/>
      </c>
      <c r="Q43" s="35">
        <f>IF(OR($H43="",$G43=""),"",IF(AND(Q$10&gt;=$G43,OR(N($F43)=0,Q$10&lt;=$J43)),$H43,""))</f>
        <v/>
      </c>
      <c r="R43" s="35">
        <f>IF(OR($H43="",$G43=""),"",IF(AND(R$10&gt;=$G43,OR(N($F43)=0,R$10&lt;=$J43)),$H43,""))</f>
        <v/>
      </c>
      <c r="S43" s="35">
        <f>IF(OR($H43="",$G43=""),"",IF(AND(S$10&gt;=$G43,OR(N($F43)=0,S$10&lt;=$J43)),$H43,""))</f>
        <v/>
      </c>
      <c r="T43" s="35">
        <f>IF(OR($H43="",$G43=""),"",IF(AND(T$10&gt;=$G43,OR(N($F43)=0,T$10&lt;=$J43)),$H43,""))</f>
        <v/>
      </c>
      <c r="U43" s="35">
        <f>IF(OR($H43="",$G43=""),"",IF(AND(U$10&gt;=$G43,OR(N($F43)=0,U$10&lt;=$J43)),$H43,""))</f>
        <v/>
      </c>
      <c r="V43" s="35">
        <f>IF(OR($H43="",$G43=""),"",IF(AND(V$10&gt;=$G43,OR(N($F43)=0,V$10&lt;=$J43)),$H43,""))</f>
        <v/>
      </c>
      <c r="W43" s="35">
        <f>IF(OR($H43="",$G43=""),"",IF(AND(W$10&gt;=$G43,OR(N($F43)=0,W$10&lt;=$J43)),$H43,""))</f>
        <v/>
      </c>
      <c r="X43" s="35">
        <f>IF(OR($H43="",$G43=""),"",IF(AND(X$10&gt;=$G43,OR(N($F43)=0,X$10&lt;=$J43)),$H43,""))</f>
        <v/>
      </c>
      <c r="Y43" s="35">
        <f>IF(OR($H43="",$G43=""),"",IF(AND(Y$10&gt;=$G43,OR(N($F43)=0,Y$10&lt;=$J43)),$H43,""))</f>
        <v/>
      </c>
      <c r="Z43">
        <f>IF(OR(J43="",D43="Caixinha"),0,H43*MAX(0,(YEAR(J43)*12+MONTH(J43))-MAX((YEAR(G43)*12+MONTH(G43)),(YEAR(sel)*12+MONTH(sel)))+1))</f>
        <v/>
      </c>
    </row>
    <row r="44">
      <c r="A44" s="30">
        <f>IF(B44="","",IF(G44="","Falta 1º mês",IF(N(F44)=0,"Fixo",IF(J44&lt;$K$10,"Quitado",IF(J44=sel,"Última parcela","Ativo")))))</f>
        <v/>
      </c>
      <c r="B44" s="31" t="n"/>
      <c r="C44" s="31" t="n"/>
      <c r="D44" s="31" t="n"/>
      <c r="E44" s="32" t="n"/>
      <c r="F44" s="33" t="n"/>
      <c r="G44" s="34" t="n"/>
      <c r="H44" s="35">
        <f>IF(OR(B44="",E44=""),"",IF(N(F44)=0,E44,E44/F44))</f>
        <v/>
      </c>
      <c r="I44" s="35">
        <f>IF(J44="",0,H44*MAX(0,(YEAR(J44)*12+MONTH(J44))-MAX((YEAR(G44)*12+MONTH(G44)),(YEAR($K$10)*12+MONTH($K$10)))+1))</f>
        <v/>
      </c>
      <c r="J44" s="36">
        <f>IF(OR(H44="",G44="",N(F44)=0),"",DATE(YEAR(G44),MONTH(G44)+F44-1,1))</f>
        <v/>
      </c>
      <c r="K44" s="35">
        <f>IF(OR($H44="",$G44=""),"",IF(AND(K$10&gt;=$G44,OR(N($F44)=0,K$10&lt;=$J44)),$H44,""))</f>
        <v/>
      </c>
      <c r="L44" s="35">
        <f>IF(OR($H44="",$G44=""),"",IF(AND(L$10&gt;=$G44,OR(N($F44)=0,L$10&lt;=$J44)),$H44,""))</f>
        <v/>
      </c>
      <c r="M44" s="35">
        <f>IF(OR($H44="",$G44=""),"",IF(AND(M$10&gt;=$G44,OR(N($F44)=0,M$10&lt;=$J44)),$H44,""))</f>
        <v/>
      </c>
      <c r="N44" s="35">
        <f>IF(OR($H44="",$G44=""),"",IF(AND(N$10&gt;=$G44,OR(N($F44)=0,N$10&lt;=$J44)),$H44,""))</f>
        <v/>
      </c>
      <c r="O44" s="35">
        <f>IF(OR($H44="",$G44=""),"",IF(AND(O$10&gt;=$G44,OR(N($F44)=0,O$10&lt;=$J44)),$H44,""))</f>
        <v/>
      </c>
      <c r="P44" s="35">
        <f>IF(OR($H44="",$G44=""),"",IF(AND(P$10&gt;=$G44,OR(N($F44)=0,P$10&lt;=$J44)),$H44,""))</f>
        <v/>
      </c>
      <c r="Q44" s="35">
        <f>IF(OR($H44="",$G44=""),"",IF(AND(Q$10&gt;=$G44,OR(N($F44)=0,Q$10&lt;=$J44)),$H44,""))</f>
        <v/>
      </c>
      <c r="R44" s="35">
        <f>IF(OR($H44="",$G44=""),"",IF(AND(R$10&gt;=$G44,OR(N($F44)=0,R$10&lt;=$J44)),$H44,""))</f>
        <v/>
      </c>
      <c r="S44" s="35">
        <f>IF(OR($H44="",$G44=""),"",IF(AND(S$10&gt;=$G44,OR(N($F44)=0,S$10&lt;=$J44)),$H44,""))</f>
        <v/>
      </c>
      <c r="T44" s="35">
        <f>IF(OR($H44="",$G44=""),"",IF(AND(T$10&gt;=$G44,OR(N($F44)=0,T$10&lt;=$J44)),$H44,""))</f>
        <v/>
      </c>
      <c r="U44" s="35">
        <f>IF(OR($H44="",$G44=""),"",IF(AND(U$10&gt;=$G44,OR(N($F44)=0,U$10&lt;=$J44)),$H44,""))</f>
        <v/>
      </c>
      <c r="V44" s="35">
        <f>IF(OR($H44="",$G44=""),"",IF(AND(V$10&gt;=$G44,OR(N($F44)=0,V$10&lt;=$J44)),$H44,""))</f>
        <v/>
      </c>
      <c r="W44" s="35">
        <f>IF(OR($H44="",$G44=""),"",IF(AND(W$10&gt;=$G44,OR(N($F44)=0,W$10&lt;=$J44)),$H44,""))</f>
        <v/>
      </c>
      <c r="X44" s="35">
        <f>IF(OR($H44="",$G44=""),"",IF(AND(X$10&gt;=$G44,OR(N($F44)=0,X$10&lt;=$J44)),$H44,""))</f>
        <v/>
      </c>
      <c r="Y44" s="35">
        <f>IF(OR($H44="",$G44=""),"",IF(AND(Y$10&gt;=$G44,OR(N($F44)=0,Y$10&lt;=$J44)),$H44,""))</f>
        <v/>
      </c>
      <c r="Z44">
        <f>IF(OR(J44="",D44="Caixinha"),0,H44*MAX(0,(YEAR(J44)*12+MONTH(J44))-MAX((YEAR(G44)*12+MONTH(G44)),(YEAR(sel)*12+MONTH(sel)))+1))</f>
        <v/>
      </c>
    </row>
    <row r="45">
      <c r="A45" s="30">
        <f>IF(B45="","",IF(G45="","Falta 1º mês",IF(N(F45)=0,"Fixo",IF(J45&lt;$K$10,"Quitado",IF(J45=sel,"Última parcela","Ativo")))))</f>
        <v/>
      </c>
      <c r="B45" s="31" t="n"/>
      <c r="C45" s="31" t="n"/>
      <c r="D45" s="31" t="n"/>
      <c r="E45" s="32" t="n"/>
      <c r="F45" s="33" t="n"/>
      <c r="G45" s="34" t="n"/>
      <c r="H45" s="35">
        <f>IF(OR(B45="",E45=""),"",IF(N(F45)=0,E45,E45/F45))</f>
        <v/>
      </c>
      <c r="I45" s="35">
        <f>IF(J45="",0,H45*MAX(0,(YEAR(J45)*12+MONTH(J45))-MAX((YEAR(G45)*12+MONTH(G45)),(YEAR($K$10)*12+MONTH($K$10)))+1))</f>
        <v/>
      </c>
      <c r="J45" s="36">
        <f>IF(OR(H45="",G45="",N(F45)=0),"",DATE(YEAR(G45),MONTH(G45)+F45-1,1))</f>
        <v/>
      </c>
      <c r="K45" s="35">
        <f>IF(OR($H45="",$G45=""),"",IF(AND(K$10&gt;=$G45,OR(N($F45)=0,K$10&lt;=$J45)),$H45,""))</f>
        <v/>
      </c>
      <c r="L45" s="35">
        <f>IF(OR($H45="",$G45=""),"",IF(AND(L$10&gt;=$G45,OR(N($F45)=0,L$10&lt;=$J45)),$H45,""))</f>
        <v/>
      </c>
      <c r="M45" s="35">
        <f>IF(OR($H45="",$G45=""),"",IF(AND(M$10&gt;=$G45,OR(N($F45)=0,M$10&lt;=$J45)),$H45,""))</f>
        <v/>
      </c>
      <c r="N45" s="35">
        <f>IF(OR($H45="",$G45=""),"",IF(AND(N$10&gt;=$G45,OR(N($F45)=0,N$10&lt;=$J45)),$H45,""))</f>
        <v/>
      </c>
      <c r="O45" s="35">
        <f>IF(OR($H45="",$G45=""),"",IF(AND(O$10&gt;=$G45,OR(N($F45)=0,O$10&lt;=$J45)),$H45,""))</f>
        <v/>
      </c>
      <c r="P45" s="35">
        <f>IF(OR($H45="",$G45=""),"",IF(AND(P$10&gt;=$G45,OR(N($F45)=0,P$10&lt;=$J45)),$H45,""))</f>
        <v/>
      </c>
      <c r="Q45" s="35">
        <f>IF(OR($H45="",$G45=""),"",IF(AND(Q$10&gt;=$G45,OR(N($F45)=0,Q$10&lt;=$J45)),$H45,""))</f>
        <v/>
      </c>
      <c r="R45" s="35">
        <f>IF(OR($H45="",$G45=""),"",IF(AND(R$10&gt;=$G45,OR(N($F45)=0,R$10&lt;=$J45)),$H45,""))</f>
        <v/>
      </c>
      <c r="S45" s="35">
        <f>IF(OR($H45="",$G45=""),"",IF(AND(S$10&gt;=$G45,OR(N($F45)=0,S$10&lt;=$J45)),$H45,""))</f>
        <v/>
      </c>
      <c r="T45" s="35">
        <f>IF(OR($H45="",$G45=""),"",IF(AND(T$10&gt;=$G45,OR(N($F45)=0,T$10&lt;=$J45)),$H45,""))</f>
        <v/>
      </c>
      <c r="U45" s="35">
        <f>IF(OR($H45="",$G45=""),"",IF(AND(U$10&gt;=$G45,OR(N($F45)=0,U$10&lt;=$J45)),$H45,""))</f>
        <v/>
      </c>
      <c r="V45" s="35">
        <f>IF(OR($H45="",$G45=""),"",IF(AND(V$10&gt;=$G45,OR(N($F45)=0,V$10&lt;=$J45)),$H45,""))</f>
        <v/>
      </c>
      <c r="W45" s="35">
        <f>IF(OR($H45="",$G45=""),"",IF(AND(W$10&gt;=$G45,OR(N($F45)=0,W$10&lt;=$J45)),$H45,""))</f>
        <v/>
      </c>
      <c r="X45" s="35">
        <f>IF(OR($H45="",$G45=""),"",IF(AND(X$10&gt;=$G45,OR(N($F45)=0,X$10&lt;=$J45)),$H45,""))</f>
        <v/>
      </c>
      <c r="Y45" s="35">
        <f>IF(OR($H45="",$G45=""),"",IF(AND(Y$10&gt;=$G45,OR(N($F45)=0,Y$10&lt;=$J45)),$H45,""))</f>
        <v/>
      </c>
      <c r="Z45">
        <f>IF(OR(J45="",D45="Caixinha"),0,H45*MAX(0,(YEAR(J45)*12+MONTH(J45))-MAX((YEAR(G45)*12+MONTH(G45)),(YEAR(sel)*12+MONTH(sel)))+1))</f>
        <v/>
      </c>
    </row>
    <row r="46">
      <c r="A46" s="30">
        <f>IF(B46="","",IF(G46="","Falta 1º mês",IF(N(F46)=0,"Fixo",IF(J46&lt;$K$10,"Quitado",IF(J46=sel,"Última parcela","Ativo")))))</f>
        <v/>
      </c>
      <c r="B46" s="31" t="n"/>
      <c r="C46" s="31" t="n"/>
      <c r="D46" s="31" t="n"/>
      <c r="E46" s="32" t="n"/>
      <c r="F46" s="33" t="n"/>
      <c r="G46" s="34" t="n"/>
      <c r="H46" s="35">
        <f>IF(OR(B46="",E46=""),"",IF(N(F46)=0,E46,E46/F46))</f>
        <v/>
      </c>
      <c r="I46" s="35">
        <f>IF(J46="",0,H46*MAX(0,(YEAR(J46)*12+MONTH(J46))-MAX((YEAR(G46)*12+MONTH(G46)),(YEAR($K$10)*12+MONTH($K$10)))+1))</f>
        <v/>
      </c>
      <c r="J46" s="36">
        <f>IF(OR(H46="",G46="",N(F46)=0),"",DATE(YEAR(G46),MONTH(G46)+F46-1,1))</f>
        <v/>
      </c>
      <c r="K46" s="35">
        <f>IF(OR($H46="",$G46=""),"",IF(AND(K$10&gt;=$G46,OR(N($F46)=0,K$10&lt;=$J46)),$H46,""))</f>
        <v/>
      </c>
      <c r="L46" s="35">
        <f>IF(OR($H46="",$G46=""),"",IF(AND(L$10&gt;=$G46,OR(N($F46)=0,L$10&lt;=$J46)),$H46,""))</f>
        <v/>
      </c>
      <c r="M46" s="35">
        <f>IF(OR($H46="",$G46=""),"",IF(AND(M$10&gt;=$G46,OR(N($F46)=0,M$10&lt;=$J46)),$H46,""))</f>
        <v/>
      </c>
      <c r="N46" s="35">
        <f>IF(OR($H46="",$G46=""),"",IF(AND(N$10&gt;=$G46,OR(N($F46)=0,N$10&lt;=$J46)),$H46,""))</f>
        <v/>
      </c>
      <c r="O46" s="35">
        <f>IF(OR($H46="",$G46=""),"",IF(AND(O$10&gt;=$G46,OR(N($F46)=0,O$10&lt;=$J46)),$H46,""))</f>
        <v/>
      </c>
      <c r="P46" s="35">
        <f>IF(OR($H46="",$G46=""),"",IF(AND(P$10&gt;=$G46,OR(N($F46)=0,P$10&lt;=$J46)),$H46,""))</f>
        <v/>
      </c>
      <c r="Q46" s="35">
        <f>IF(OR($H46="",$G46=""),"",IF(AND(Q$10&gt;=$G46,OR(N($F46)=0,Q$10&lt;=$J46)),$H46,""))</f>
        <v/>
      </c>
      <c r="R46" s="35">
        <f>IF(OR($H46="",$G46=""),"",IF(AND(R$10&gt;=$G46,OR(N($F46)=0,R$10&lt;=$J46)),$H46,""))</f>
        <v/>
      </c>
      <c r="S46" s="35">
        <f>IF(OR($H46="",$G46=""),"",IF(AND(S$10&gt;=$G46,OR(N($F46)=0,S$10&lt;=$J46)),$H46,""))</f>
        <v/>
      </c>
      <c r="T46" s="35">
        <f>IF(OR($H46="",$G46=""),"",IF(AND(T$10&gt;=$G46,OR(N($F46)=0,T$10&lt;=$J46)),$H46,""))</f>
        <v/>
      </c>
      <c r="U46" s="35">
        <f>IF(OR($H46="",$G46=""),"",IF(AND(U$10&gt;=$G46,OR(N($F46)=0,U$10&lt;=$J46)),$H46,""))</f>
        <v/>
      </c>
      <c r="V46" s="35">
        <f>IF(OR($H46="",$G46=""),"",IF(AND(V$10&gt;=$G46,OR(N($F46)=0,V$10&lt;=$J46)),$H46,""))</f>
        <v/>
      </c>
      <c r="W46" s="35">
        <f>IF(OR($H46="",$G46=""),"",IF(AND(W$10&gt;=$G46,OR(N($F46)=0,W$10&lt;=$J46)),$H46,""))</f>
        <v/>
      </c>
      <c r="X46" s="35">
        <f>IF(OR($H46="",$G46=""),"",IF(AND(X$10&gt;=$G46,OR(N($F46)=0,X$10&lt;=$J46)),$H46,""))</f>
        <v/>
      </c>
      <c r="Y46" s="35">
        <f>IF(OR($H46="",$G46=""),"",IF(AND(Y$10&gt;=$G46,OR(N($F46)=0,Y$10&lt;=$J46)),$H46,""))</f>
        <v/>
      </c>
      <c r="Z46">
        <f>IF(OR(J46="",D46="Caixinha"),0,H46*MAX(0,(YEAR(J46)*12+MONTH(J46))-MAX((YEAR(G46)*12+MONTH(G46)),(YEAR(sel)*12+MONTH(sel)))+1))</f>
        <v/>
      </c>
    </row>
    <row r="47">
      <c r="A47" s="30">
        <f>IF(B47="","",IF(G47="","Falta 1º mês",IF(N(F47)=0,"Fixo",IF(J47&lt;$K$10,"Quitado",IF(J47=sel,"Última parcela","Ativo")))))</f>
        <v/>
      </c>
      <c r="B47" s="31" t="n"/>
      <c r="C47" s="31" t="n"/>
      <c r="D47" s="31" t="n"/>
      <c r="E47" s="32" t="n"/>
      <c r="F47" s="33" t="n"/>
      <c r="G47" s="34" t="n"/>
      <c r="H47" s="35">
        <f>IF(OR(B47="",E47=""),"",IF(N(F47)=0,E47,E47/F47))</f>
        <v/>
      </c>
      <c r="I47" s="35">
        <f>IF(J47="",0,H47*MAX(0,(YEAR(J47)*12+MONTH(J47))-MAX((YEAR(G47)*12+MONTH(G47)),(YEAR($K$10)*12+MONTH($K$10)))+1))</f>
        <v/>
      </c>
      <c r="J47" s="36">
        <f>IF(OR(H47="",G47="",N(F47)=0),"",DATE(YEAR(G47),MONTH(G47)+F47-1,1))</f>
        <v/>
      </c>
      <c r="K47" s="35">
        <f>IF(OR($H47="",$G47=""),"",IF(AND(K$10&gt;=$G47,OR(N($F47)=0,K$10&lt;=$J47)),$H47,""))</f>
        <v/>
      </c>
      <c r="L47" s="35">
        <f>IF(OR($H47="",$G47=""),"",IF(AND(L$10&gt;=$G47,OR(N($F47)=0,L$10&lt;=$J47)),$H47,""))</f>
        <v/>
      </c>
      <c r="M47" s="35">
        <f>IF(OR($H47="",$G47=""),"",IF(AND(M$10&gt;=$G47,OR(N($F47)=0,M$10&lt;=$J47)),$H47,""))</f>
        <v/>
      </c>
      <c r="N47" s="35">
        <f>IF(OR($H47="",$G47=""),"",IF(AND(N$10&gt;=$G47,OR(N($F47)=0,N$10&lt;=$J47)),$H47,""))</f>
        <v/>
      </c>
      <c r="O47" s="35">
        <f>IF(OR($H47="",$G47=""),"",IF(AND(O$10&gt;=$G47,OR(N($F47)=0,O$10&lt;=$J47)),$H47,""))</f>
        <v/>
      </c>
      <c r="P47" s="35">
        <f>IF(OR($H47="",$G47=""),"",IF(AND(P$10&gt;=$G47,OR(N($F47)=0,P$10&lt;=$J47)),$H47,""))</f>
        <v/>
      </c>
      <c r="Q47" s="35">
        <f>IF(OR($H47="",$G47=""),"",IF(AND(Q$10&gt;=$G47,OR(N($F47)=0,Q$10&lt;=$J47)),$H47,""))</f>
        <v/>
      </c>
      <c r="R47" s="35">
        <f>IF(OR($H47="",$G47=""),"",IF(AND(R$10&gt;=$G47,OR(N($F47)=0,R$10&lt;=$J47)),$H47,""))</f>
        <v/>
      </c>
      <c r="S47" s="35">
        <f>IF(OR($H47="",$G47=""),"",IF(AND(S$10&gt;=$G47,OR(N($F47)=0,S$10&lt;=$J47)),$H47,""))</f>
        <v/>
      </c>
      <c r="T47" s="35">
        <f>IF(OR($H47="",$G47=""),"",IF(AND(T$10&gt;=$G47,OR(N($F47)=0,T$10&lt;=$J47)),$H47,""))</f>
        <v/>
      </c>
      <c r="U47" s="35">
        <f>IF(OR($H47="",$G47=""),"",IF(AND(U$10&gt;=$G47,OR(N($F47)=0,U$10&lt;=$J47)),$H47,""))</f>
        <v/>
      </c>
      <c r="V47" s="35">
        <f>IF(OR($H47="",$G47=""),"",IF(AND(V$10&gt;=$G47,OR(N($F47)=0,V$10&lt;=$J47)),$H47,""))</f>
        <v/>
      </c>
      <c r="W47" s="35">
        <f>IF(OR($H47="",$G47=""),"",IF(AND(W$10&gt;=$G47,OR(N($F47)=0,W$10&lt;=$J47)),$H47,""))</f>
        <v/>
      </c>
      <c r="X47" s="35">
        <f>IF(OR($H47="",$G47=""),"",IF(AND(X$10&gt;=$G47,OR(N($F47)=0,X$10&lt;=$J47)),$H47,""))</f>
        <v/>
      </c>
      <c r="Y47" s="35">
        <f>IF(OR($H47="",$G47=""),"",IF(AND(Y$10&gt;=$G47,OR(N($F47)=0,Y$10&lt;=$J47)),$H47,""))</f>
        <v/>
      </c>
      <c r="Z47">
        <f>IF(OR(J47="",D47="Caixinha"),0,H47*MAX(0,(YEAR(J47)*12+MONTH(J47))-MAX((YEAR(G47)*12+MONTH(G47)),(YEAR(sel)*12+MONTH(sel)))+1))</f>
        <v/>
      </c>
    </row>
    <row r="48">
      <c r="A48" s="30">
        <f>IF(B48="","",IF(G48="","Falta 1º mês",IF(N(F48)=0,"Fixo",IF(J48&lt;$K$10,"Quitado",IF(J48=sel,"Última parcela","Ativo")))))</f>
        <v/>
      </c>
      <c r="B48" s="31" t="n"/>
      <c r="C48" s="31" t="n"/>
      <c r="D48" s="31" t="n"/>
      <c r="E48" s="32" t="n"/>
      <c r="F48" s="33" t="n"/>
      <c r="G48" s="34" t="n"/>
      <c r="H48" s="35">
        <f>IF(OR(B48="",E48=""),"",IF(N(F48)=0,E48,E48/F48))</f>
        <v/>
      </c>
      <c r="I48" s="35">
        <f>IF(J48="",0,H48*MAX(0,(YEAR(J48)*12+MONTH(J48))-MAX((YEAR(G48)*12+MONTH(G48)),(YEAR($K$10)*12+MONTH($K$10)))+1))</f>
        <v/>
      </c>
      <c r="J48" s="36">
        <f>IF(OR(H48="",G48="",N(F48)=0),"",DATE(YEAR(G48),MONTH(G48)+F48-1,1))</f>
        <v/>
      </c>
      <c r="K48" s="35">
        <f>IF(OR($H48="",$G48=""),"",IF(AND(K$10&gt;=$G48,OR(N($F48)=0,K$10&lt;=$J48)),$H48,""))</f>
        <v/>
      </c>
      <c r="L48" s="35">
        <f>IF(OR($H48="",$G48=""),"",IF(AND(L$10&gt;=$G48,OR(N($F48)=0,L$10&lt;=$J48)),$H48,""))</f>
        <v/>
      </c>
      <c r="M48" s="35">
        <f>IF(OR($H48="",$G48=""),"",IF(AND(M$10&gt;=$G48,OR(N($F48)=0,M$10&lt;=$J48)),$H48,""))</f>
        <v/>
      </c>
      <c r="N48" s="35">
        <f>IF(OR($H48="",$G48=""),"",IF(AND(N$10&gt;=$G48,OR(N($F48)=0,N$10&lt;=$J48)),$H48,""))</f>
        <v/>
      </c>
      <c r="O48" s="35">
        <f>IF(OR($H48="",$G48=""),"",IF(AND(O$10&gt;=$G48,OR(N($F48)=0,O$10&lt;=$J48)),$H48,""))</f>
        <v/>
      </c>
      <c r="P48" s="35">
        <f>IF(OR($H48="",$G48=""),"",IF(AND(P$10&gt;=$G48,OR(N($F48)=0,P$10&lt;=$J48)),$H48,""))</f>
        <v/>
      </c>
      <c r="Q48" s="35">
        <f>IF(OR($H48="",$G48=""),"",IF(AND(Q$10&gt;=$G48,OR(N($F48)=0,Q$10&lt;=$J48)),$H48,""))</f>
        <v/>
      </c>
      <c r="R48" s="35">
        <f>IF(OR($H48="",$G48=""),"",IF(AND(R$10&gt;=$G48,OR(N($F48)=0,R$10&lt;=$J48)),$H48,""))</f>
        <v/>
      </c>
      <c r="S48" s="35">
        <f>IF(OR($H48="",$G48=""),"",IF(AND(S$10&gt;=$G48,OR(N($F48)=0,S$10&lt;=$J48)),$H48,""))</f>
        <v/>
      </c>
      <c r="T48" s="35">
        <f>IF(OR($H48="",$G48=""),"",IF(AND(T$10&gt;=$G48,OR(N($F48)=0,T$10&lt;=$J48)),$H48,""))</f>
        <v/>
      </c>
      <c r="U48" s="35">
        <f>IF(OR($H48="",$G48=""),"",IF(AND(U$10&gt;=$G48,OR(N($F48)=0,U$10&lt;=$J48)),$H48,""))</f>
        <v/>
      </c>
      <c r="V48" s="35">
        <f>IF(OR($H48="",$G48=""),"",IF(AND(V$10&gt;=$G48,OR(N($F48)=0,V$10&lt;=$J48)),$H48,""))</f>
        <v/>
      </c>
      <c r="W48" s="35">
        <f>IF(OR($H48="",$G48=""),"",IF(AND(W$10&gt;=$G48,OR(N($F48)=0,W$10&lt;=$J48)),$H48,""))</f>
        <v/>
      </c>
      <c r="X48" s="35">
        <f>IF(OR($H48="",$G48=""),"",IF(AND(X$10&gt;=$G48,OR(N($F48)=0,X$10&lt;=$J48)),$H48,""))</f>
        <v/>
      </c>
      <c r="Y48" s="35">
        <f>IF(OR($H48="",$G48=""),"",IF(AND(Y$10&gt;=$G48,OR(N($F48)=0,Y$10&lt;=$J48)),$H48,""))</f>
        <v/>
      </c>
      <c r="Z48">
        <f>IF(OR(J48="",D48="Caixinha"),0,H48*MAX(0,(YEAR(J48)*12+MONTH(J48))-MAX((YEAR(G48)*12+MONTH(G48)),(YEAR(sel)*12+MONTH(sel)))+1))</f>
        <v/>
      </c>
    </row>
    <row r="49">
      <c r="A49" s="30">
        <f>IF(B49="","",IF(G49="","Falta 1º mês",IF(N(F49)=0,"Fixo",IF(J49&lt;$K$10,"Quitado",IF(J49=sel,"Última parcela","Ativo")))))</f>
        <v/>
      </c>
      <c r="B49" s="31" t="n"/>
      <c r="C49" s="31" t="n"/>
      <c r="D49" s="31" t="n"/>
      <c r="E49" s="32" t="n"/>
      <c r="F49" s="33" t="n"/>
      <c r="G49" s="34" t="n"/>
      <c r="H49" s="35">
        <f>IF(OR(B49="",E49=""),"",IF(N(F49)=0,E49,E49/F49))</f>
        <v/>
      </c>
      <c r="I49" s="35">
        <f>IF(J49="",0,H49*MAX(0,(YEAR(J49)*12+MONTH(J49))-MAX((YEAR(G49)*12+MONTH(G49)),(YEAR($K$10)*12+MONTH($K$10)))+1))</f>
        <v/>
      </c>
      <c r="J49" s="36">
        <f>IF(OR(H49="",G49="",N(F49)=0),"",DATE(YEAR(G49),MONTH(G49)+F49-1,1))</f>
        <v/>
      </c>
      <c r="K49" s="35">
        <f>IF(OR($H49="",$G49=""),"",IF(AND(K$10&gt;=$G49,OR(N($F49)=0,K$10&lt;=$J49)),$H49,""))</f>
        <v/>
      </c>
      <c r="L49" s="35">
        <f>IF(OR($H49="",$G49=""),"",IF(AND(L$10&gt;=$G49,OR(N($F49)=0,L$10&lt;=$J49)),$H49,""))</f>
        <v/>
      </c>
      <c r="M49" s="35">
        <f>IF(OR($H49="",$G49=""),"",IF(AND(M$10&gt;=$G49,OR(N($F49)=0,M$10&lt;=$J49)),$H49,""))</f>
        <v/>
      </c>
      <c r="N49" s="35">
        <f>IF(OR($H49="",$G49=""),"",IF(AND(N$10&gt;=$G49,OR(N($F49)=0,N$10&lt;=$J49)),$H49,""))</f>
        <v/>
      </c>
      <c r="O49" s="35">
        <f>IF(OR($H49="",$G49=""),"",IF(AND(O$10&gt;=$G49,OR(N($F49)=0,O$10&lt;=$J49)),$H49,""))</f>
        <v/>
      </c>
      <c r="P49" s="35">
        <f>IF(OR($H49="",$G49=""),"",IF(AND(P$10&gt;=$G49,OR(N($F49)=0,P$10&lt;=$J49)),$H49,""))</f>
        <v/>
      </c>
      <c r="Q49" s="35">
        <f>IF(OR($H49="",$G49=""),"",IF(AND(Q$10&gt;=$G49,OR(N($F49)=0,Q$10&lt;=$J49)),$H49,""))</f>
        <v/>
      </c>
      <c r="R49" s="35">
        <f>IF(OR($H49="",$G49=""),"",IF(AND(R$10&gt;=$G49,OR(N($F49)=0,R$10&lt;=$J49)),$H49,""))</f>
        <v/>
      </c>
      <c r="S49" s="35">
        <f>IF(OR($H49="",$G49=""),"",IF(AND(S$10&gt;=$G49,OR(N($F49)=0,S$10&lt;=$J49)),$H49,""))</f>
        <v/>
      </c>
      <c r="T49" s="35">
        <f>IF(OR($H49="",$G49=""),"",IF(AND(T$10&gt;=$G49,OR(N($F49)=0,T$10&lt;=$J49)),$H49,""))</f>
        <v/>
      </c>
      <c r="U49" s="35">
        <f>IF(OR($H49="",$G49=""),"",IF(AND(U$10&gt;=$G49,OR(N($F49)=0,U$10&lt;=$J49)),$H49,""))</f>
        <v/>
      </c>
      <c r="V49" s="35">
        <f>IF(OR($H49="",$G49=""),"",IF(AND(V$10&gt;=$G49,OR(N($F49)=0,V$10&lt;=$J49)),$H49,""))</f>
        <v/>
      </c>
      <c r="W49" s="35">
        <f>IF(OR($H49="",$G49=""),"",IF(AND(W$10&gt;=$G49,OR(N($F49)=0,W$10&lt;=$J49)),$H49,""))</f>
        <v/>
      </c>
      <c r="X49" s="35">
        <f>IF(OR($H49="",$G49=""),"",IF(AND(X$10&gt;=$G49,OR(N($F49)=0,X$10&lt;=$J49)),$H49,""))</f>
        <v/>
      </c>
      <c r="Y49" s="35">
        <f>IF(OR($H49="",$G49=""),"",IF(AND(Y$10&gt;=$G49,OR(N($F49)=0,Y$10&lt;=$J49)),$H49,""))</f>
        <v/>
      </c>
      <c r="Z49">
        <f>IF(OR(J49="",D49="Caixinha"),0,H49*MAX(0,(YEAR(J49)*12+MONTH(J49))-MAX((YEAR(G49)*12+MONTH(G49)),(YEAR(sel)*12+MONTH(sel)))+1))</f>
        <v/>
      </c>
    </row>
    <row r="50">
      <c r="A50" s="30">
        <f>IF(B50="","",IF(G50="","Falta 1º mês",IF(N(F50)=0,"Fixo",IF(J50&lt;$K$10,"Quitado",IF(J50=sel,"Última parcela","Ativo")))))</f>
        <v/>
      </c>
      <c r="B50" s="31" t="n"/>
      <c r="C50" s="31" t="n"/>
      <c r="D50" s="31" t="n"/>
      <c r="E50" s="32" t="n"/>
      <c r="F50" s="33" t="n"/>
      <c r="G50" s="34" t="n"/>
      <c r="H50" s="35">
        <f>IF(OR(B50="",E50=""),"",IF(N(F50)=0,E50,E50/F50))</f>
        <v/>
      </c>
      <c r="I50" s="35">
        <f>IF(J50="",0,H50*MAX(0,(YEAR(J50)*12+MONTH(J50))-MAX((YEAR(G50)*12+MONTH(G50)),(YEAR($K$10)*12+MONTH($K$10)))+1))</f>
        <v/>
      </c>
      <c r="J50" s="36">
        <f>IF(OR(H50="",G50="",N(F50)=0),"",DATE(YEAR(G50),MONTH(G50)+F50-1,1))</f>
        <v/>
      </c>
      <c r="K50" s="35">
        <f>IF(OR($H50="",$G50=""),"",IF(AND(K$10&gt;=$G50,OR(N($F50)=0,K$10&lt;=$J50)),$H50,""))</f>
        <v/>
      </c>
      <c r="L50" s="35">
        <f>IF(OR($H50="",$G50=""),"",IF(AND(L$10&gt;=$G50,OR(N($F50)=0,L$10&lt;=$J50)),$H50,""))</f>
        <v/>
      </c>
      <c r="M50" s="35">
        <f>IF(OR($H50="",$G50=""),"",IF(AND(M$10&gt;=$G50,OR(N($F50)=0,M$10&lt;=$J50)),$H50,""))</f>
        <v/>
      </c>
      <c r="N50" s="35">
        <f>IF(OR($H50="",$G50=""),"",IF(AND(N$10&gt;=$G50,OR(N($F50)=0,N$10&lt;=$J50)),$H50,""))</f>
        <v/>
      </c>
      <c r="O50" s="35">
        <f>IF(OR($H50="",$G50=""),"",IF(AND(O$10&gt;=$G50,OR(N($F50)=0,O$10&lt;=$J50)),$H50,""))</f>
        <v/>
      </c>
      <c r="P50" s="35">
        <f>IF(OR($H50="",$G50=""),"",IF(AND(P$10&gt;=$G50,OR(N($F50)=0,P$10&lt;=$J50)),$H50,""))</f>
        <v/>
      </c>
      <c r="Q50" s="35">
        <f>IF(OR($H50="",$G50=""),"",IF(AND(Q$10&gt;=$G50,OR(N($F50)=0,Q$10&lt;=$J50)),$H50,""))</f>
        <v/>
      </c>
      <c r="R50" s="35">
        <f>IF(OR($H50="",$G50=""),"",IF(AND(R$10&gt;=$G50,OR(N($F50)=0,R$10&lt;=$J50)),$H50,""))</f>
        <v/>
      </c>
      <c r="S50" s="35">
        <f>IF(OR($H50="",$G50=""),"",IF(AND(S$10&gt;=$G50,OR(N($F50)=0,S$10&lt;=$J50)),$H50,""))</f>
        <v/>
      </c>
      <c r="T50" s="35">
        <f>IF(OR($H50="",$G50=""),"",IF(AND(T$10&gt;=$G50,OR(N($F50)=0,T$10&lt;=$J50)),$H50,""))</f>
        <v/>
      </c>
      <c r="U50" s="35">
        <f>IF(OR($H50="",$G50=""),"",IF(AND(U$10&gt;=$G50,OR(N($F50)=0,U$10&lt;=$J50)),$H50,""))</f>
        <v/>
      </c>
      <c r="V50" s="35">
        <f>IF(OR($H50="",$G50=""),"",IF(AND(V$10&gt;=$G50,OR(N($F50)=0,V$10&lt;=$J50)),$H50,""))</f>
        <v/>
      </c>
      <c r="W50" s="35">
        <f>IF(OR($H50="",$G50=""),"",IF(AND(W$10&gt;=$G50,OR(N($F50)=0,W$10&lt;=$J50)),$H50,""))</f>
        <v/>
      </c>
      <c r="X50" s="35">
        <f>IF(OR($H50="",$G50=""),"",IF(AND(X$10&gt;=$G50,OR(N($F50)=0,X$10&lt;=$J50)),$H50,""))</f>
        <v/>
      </c>
      <c r="Y50" s="35">
        <f>IF(OR($H50="",$G50=""),"",IF(AND(Y$10&gt;=$G50,OR(N($F50)=0,Y$10&lt;=$J50)),$H50,""))</f>
        <v/>
      </c>
      <c r="Z50">
        <f>IF(OR(J50="",D50="Caixinha"),0,H50*MAX(0,(YEAR(J50)*12+MONTH(J50))-MAX((YEAR(G50)*12+MONTH(G50)),(YEAR(sel)*12+MONTH(sel)))+1))</f>
        <v/>
      </c>
    </row>
    <row r="52">
      <c r="A52" s="37" t="inlineStr">
        <is>
          <t>FATURA DO CARTÃO</t>
        </is>
      </c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9">
        <f>SUMIFS(K11:K50,$D$11:$D$50,"Cartão")</f>
        <v/>
      </c>
      <c r="L52" s="39">
        <f>SUMIFS(L11:L50,$D$11:$D$50,"Cartão")</f>
        <v/>
      </c>
      <c r="M52" s="39">
        <f>SUMIFS(M11:M50,$D$11:$D$50,"Cartão")</f>
        <v/>
      </c>
      <c r="N52" s="39">
        <f>SUMIFS(N11:N50,$D$11:$D$50,"Cartão")</f>
        <v/>
      </c>
      <c r="O52" s="39">
        <f>SUMIFS(O11:O50,$D$11:$D$50,"Cartão")</f>
        <v/>
      </c>
      <c r="P52" s="39">
        <f>SUMIFS(P11:P50,$D$11:$D$50,"Cartão")</f>
        <v/>
      </c>
      <c r="Q52" s="39">
        <f>SUMIFS(Q11:Q50,$D$11:$D$50,"Cartão")</f>
        <v/>
      </c>
      <c r="R52" s="39">
        <f>SUMIFS(R11:R50,$D$11:$D$50,"Cartão")</f>
        <v/>
      </c>
      <c r="S52" s="39">
        <f>SUMIFS(S11:S50,$D$11:$D$50,"Cartão")</f>
        <v/>
      </c>
      <c r="T52" s="39">
        <f>SUMIFS(T11:T50,$D$11:$D$50,"Cartão")</f>
        <v/>
      </c>
      <c r="U52" s="39">
        <f>SUMIFS(U11:U50,$D$11:$D$50,"Cartão")</f>
        <v/>
      </c>
      <c r="V52" s="39">
        <f>SUMIFS(V11:V50,$D$11:$D$50,"Cartão")</f>
        <v/>
      </c>
      <c r="W52" s="39">
        <f>SUMIFS(W11:W50,$D$11:$D$50,"Cartão")</f>
        <v/>
      </c>
      <c r="X52" s="39">
        <f>SUMIFS(X11:X50,$D$11:$D$50,"Cartão")</f>
        <v/>
      </c>
      <c r="Y52" s="39">
        <f>SUMIFS(Y11:Y50,$D$11:$D$50,"Cartão")</f>
        <v/>
      </c>
    </row>
    <row r="53">
      <c r="A53" s="40" t="inlineStr">
        <is>
          <t>PIX / BOLETO (pessoas, aluguel…)</t>
        </is>
      </c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2">
        <f>SUMIFS(K11:K50,$D$11:$D$50,"&lt;&gt;Cartão")-SUMIFS(K11:K50,$D$11:$D$50,"Caixinha")</f>
        <v/>
      </c>
      <c r="L53" s="42">
        <f>SUMIFS(L11:L50,$D$11:$D$50,"&lt;&gt;Cartão")-SUMIFS(L11:L50,$D$11:$D$50,"Caixinha")</f>
        <v/>
      </c>
      <c r="M53" s="42">
        <f>SUMIFS(M11:M50,$D$11:$D$50,"&lt;&gt;Cartão")-SUMIFS(M11:M50,$D$11:$D$50,"Caixinha")</f>
        <v/>
      </c>
      <c r="N53" s="42">
        <f>SUMIFS(N11:N50,$D$11:$D$50,"&lt;&gt;Cartão")-SUMIFS(N11:N50,$D$11:$D$50,"Caixinha")</f>
        <v/>
      </c>
      <c r="O53" s="42">
        <f>SUMIFS(O11:O50,$D$11:$D$50,"&lt;&gt;Cartão")-SUMIFS(O11:O50,$D$11:$D$50,"Caixinha")</f>
        <v/>
      </c>
      <c r="P53" s="42">
        <f>SUMIFS(P11:P50,$D$11:$D$50,"&lt;&gt;Cartão")-SUMIFS(P11:P50,$D$11:$D$50,"Caixinha")</f>
        <v/>
      </c>
      <c r="Q53" s="42">
        <f>SUMIFS(Q11:Q50,$D$11:$D$50,"&lt;&gt;Cartão")-SUMIFS(Q11:Q50,$D$11:$D$50,"Caixinha")</f>
        <v/>
      </c>
      <c r="R53" s="42">
        <f>SUMIFS(R11:R50,$D$11:$D$50,"&lt;&gt;Cartão")-SUMIFS(R11:R50,$D$11:$D$50,"Caixinha")</f>
        <v/>
      </c>
      <c r="S53" s="42">
        <f>SUMIFS(S11:S50,$D$11:$D$50,"&lt;&gt;Cartão")-SUMIFS(S11:S50,$D$11:$D$50,"Caixinha")</f>
        <v/>
      </c>
      <c r="T53" s="42">
        <f>SUMIFS(T11:T50,$D$11:$D$50,"&lt;&gt;Cartão")-SUMIFS(T11:T50,$D$11:$D$50,"Caixinha")</f>
        <v/>
      </c>
      <c r="U53" s="42">
        <f>SUMIFS(U11:U50,$D$11:$D$50,"&lt;&gt;Cartão")-SUMIFS(U11:U50,$D$11:$D$50,"Caixinha")</f>
        <v/>
      </c>
      <c r="V53" s="42">
        <f>SUMIFS(V11:V50,$D$11:$D$50,"&lt;&gt;Cartão")-SUMIFS(V11:V50,$D$11:$D$50,"Caixinha")</f>
        <v/>
      </c>
      <c r="W53" s="42">
        <f>SUMIFS(W11:W50,$D$11:$D$50,"&lt;&gt;Cartão")-SUMIFS(W11:W50,$D$11:$D$50,"Caixinha")</f>
        <v/>
      </c>
      <c r="X53" s="42">
        <f>SUMIFS(X11:X50,$D$11:$D$50,"&lt;&gt;Cartão")-SUMIFS(X11:X50,$D$11:$D$50,"Caixinha")</f>
        <v/>
      </c>
      <c r="Y53" s="42">
        <f>SUMIFS(Y11:Y50,$D$11:$D$50,"&lt;&gt;Cartão")-SUMIFS(Y11:Y50,$D$11:$D$50,"Caixinha")</f>
        <v/>
      </c>
    </row>
    <row r="54">
      <c r="A54" s="43" t="inlineStr">
        <is>
          <t>GUARDAR NA CAIXINHA</t>
        </is>
      </c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5">
        <f>SUMIFS(K11:K50,$D$11:$D$50,"Caixinha")</f>
        <v/>
      </c>
      <c r="L54" s="45">
        <f>SUMIFS(L11:L50,$D$11:$D$50,"Caixinha")</f>
        <v/>
      </c>
      <c r="M54" s="45">
        <f>SUMIFS(M11:M50,$D$11:$D$50,"Caixinha")</f>
        <v/>
      </c>
      <c r="N54" s="45">
        <f>SUMIFS(N11:N50,$D$11:$D$50,"Caixinha")</f>
        <v/>
      </c>
      <c r="O54" s="45">
        <f>SUMIFS(O11:O50,$D$11:$D$50,"Caixinha")</f>
        <v/>
      </c>
      <c r="P54" s="45">
        <f>SUMIFS(P11:P50,$D$11:$D$50,"Caixinha")</f>
        <v/>
      </c>
      <c r="Q54" s="45">
        <f>SUMIFS(Q11:Q50,$D$11:$D$50,"Caixinha")</f>
        <v/>
      </c>
      <c r="R54" s="45">
        <f>SUMIFS(R11:R50,$D$11:$D$50,"Caixinha")</f>
        <v/>
      </c>
      <c r="S54" s="45">
        <f>SUMIFS(S11:S50,$D$11:$D$50,"Caixinha")</f>
        <v/>
      </c>
      <c r="T54" s="45">
        <f>SUMIFS(T11:T50,$D$11:$D$50,"Caixinha")</f>
        <v/>
      </c>
      <c r="U54" s="45">
        <f>SUMIFS(U11:U50,$D$11:$D$50,"Caixinha")</f>
        <v/>
      </c>
      <c r="V54" s="45">
        <f>SUMIFS(V11:V50,$D$11:$D$50,"Caixinha")</f>
        <v/>
      </c>
      <c r="W54" s="45">
        <f>SUMIFS(W11:W50,$D$11:$D$50,"Caixinha")</f>
        <v/>
      </c>
      <c r="X54" s="45">
        <f>SUMIFS(X11:X50,$D$11:$D$50,"Caixinha")</f>
        <v/>
      </c>
      <c r="Y54" s="45">
        <f>SUMIFS(Y11:Y50,$D$11:$D$50,"Caixinha")</f>
        <v/>
      </c>
    </row>
    <row r="55">
      <c r="A55" s="46" t="inlineStr">
        <is>
          <t>TOTAL MENSAL</t>
        </is>
      </c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8">
        <f>SUM(K11:K50)</f>
        <v/>
      </c>
      <c r="L55" s="48">
        <f>SUM(L11:L50)</f>
        <v/>
      </c>
      <c r="M55" s="48">
        <f>SUM(M11:M50)</f>
        <v/>
      </c>
      <c r="N55" s="48">
        <f>SUM(N11:N50)</f>
        <v/>
      </c>
      <c r="O55" s="48">
        <f>SUM(O11:O50)</f>
        <v/>
      </c>
      <c r="P55" s="48">
        <f>SUM(P11:P50)</f>
        <v/>
      </c>
      <c r="Q55" s="48">
        <f>SUM(Q11:Q50)</f>
        <v/>
      </c>
      <c r="R55" s="48">
        <f>SUM(R11:R50)</f>
        <v/>
      </c>
      <c r="S55" s="48">
        <f>SUM(S11:S50)</f>
        <v/>
      </c>
      <c r="T55" s="48">
        <f>SUM(T11:T50)</f>
        <v/>
      </c>
      <c r="U55" s="48">
        <f>SUM(U11:U50)</f>
        <v/>
      </c>
      <c r="V55" s="48">
        <f>SUM(V11:V50)</f>
        <v/>
      </c>
      <c r="W55" s="48">
        <f>SUM(W11:W50)</f>
        <v/>
      </c>
      <c r="X55" s="48">
        <f>SUM(X11:X50)</f>
        <v/>
      </c>
      <c r="Y55" s="48">
        <f>SUM(Y11:Y50)</f>
        <v/>
      </c>
    </row>
    <row r="56">
      <c r="A56" s="43" t="inlineStr">
        <is>
          <t>ÚLTIMO SALÁRIO</t>
        </is>
      </c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5">
        <f>sal</f>
        <v/>
      </c>
      <c r="L56" s="45">
        <f>sal</f>
        <v/>
      </c>
      <c r="M56" s="45">
        <f>sal</f>
        <v/>
      </c>
      <c r="N56" s="45">
        <f>sal</f>
        <v/>
      </c>
      <c r="O56" s="45">
        <f>sal</f>
        <v/>
      </c>
      <c r="P56" s="45">
        <f>sal</f>
        <v/>
      </c>
      <c r="Q56" s="45">
        <f>sal</f>
        <v/>
      </c>
      <c r="R56" s="45">
        <f>sal</f>
        <v/>
      </c>
      <c r="S56" s="45">
        <f>sal</f>
        <v/>
      </c>
      <c r="T56" s="45">
        <f>sal</f>
        <v/>
      </c>
      <c r="U56" s="45">
        <f>sal</f>
        <v/>
      </c>
      <c r="V56" s="45">
        <f>sal</f>
        <v/>
      </c>
      <c r="W56" s="45">
        <f>sal</f>
        <v/>
      </c>
      <c r="X56" s="45">
        <f>sal</f>
        <v/>
      </c>
      <c r="Y56" s="45">
        <f>sal</f>
        <v/>
      </c>
    </row>
    <row r="57">
      <c r="A57" s="49" t="inlineStr">
        <is>
          <t>SOBRA PARA O DIA A DIA</t>
        </is>
      </c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1">
        <f>K56-K55</f>
        <v/>
      </c>
      <c r="L57" s="51">
        <f>L56-L55</f>
        <v/>
      </c>
      <c r="M57" s="51">
        <f>M56-M55</f>
        <v/>
      </c>
      <c r="N57" s="51">
        <f>N56-N55</f>
        <v/>
      </c>
      <c r="O57" s="51">
        <f>O56-O55</f>
        <v/>
      </c>
      <c r="P57" s="51">
        <f>P56-P55</f>
        <v/>
      </c>
      <c r="Q57" s="51">
        <f>Q56-Q55</f>
        <v/>
      </c>
      <c r="R57" s="51">
        <f>R56-R55</f>
        <v/>
      </c>
      <c r="S57" s="51">
        <f>S56-S55</f>
        <v/>
      </c>
      <c r="T57" s="51">
        <f>T56-T55</f>
        <v/>
      </c>
      <c r="U57" s="51">
        <f>U56-U55</f>
        <v/>
      </c>
      <c r="V57" s="51">
        <f>V56-V55</f>
        <v/>
      </c>
      <c r="W57" s="51">
        <f>W56-W55</f>
        <v/>
      </c>
      <c r="X57" s="51">
        <f>X56-X55</f>
        <v/>
      </c>
      <c r="Y57" s="51">
        <f>Y56-Y55</f>
        <v/>
      </c>
    </row>
    <row r="58">
      <c r="A58" s="52" t="inlineStr">
        <is>
          <t>SOBRA POR DIA</t>
        </is>
      </c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4">
        <f>K57/DAY(DATE(YEAR(K$10),MONTH(K$10)+1,0))</f>
        <v/>
      </c>
      <c r="L58" s="54">
        <f>L57/DAY(DATE(YEAR(L$10),MONTH(L$10)+1,0))</f>
        <v/>
      </c>
      <c r="M58" s="54">
        <f>M57/DAY(DATE(YEAR(M$10),MONTH(M$10)+1,0))</f>
        <v/>
      </c>
      <c r="N58" s="54">
        <f>N57/DAY(DATE(YEAR(N$10),MONTH(N$10)+1,0))</f>
        <v/>
      </c>
      <c r="O58" s="54">
        <f>O57/DAY(DATE(YEAR(O$10),MONTH(O$10)+1,0))</f>
        <v/>
      </c>
      <c r="P58" s="54">
        <f>P57/DAY(DATE(YEAR(P$10),MONTH(P$10)+1,0))</f>
        <v/>
      </c>
      <c r="Q58" s="54">
        <f>Q57/DAY(DATE(YEAR(Q$10),MONTH(Q$10)+1,0))</f>
        <v/>
      </c>
      <c r="R58" s="54">
        <f>R57/DAY(DATE(YEAR(R$10),MONTH(R$10)+1,0))</f>
        <v/>
      </c>
      <c r="S58" s="54">
        <f>S57/DAY(DATE(YEAR(S$10),MONTH(S$10)+1,0))</f>
        <v/>
      </c>
      <c r="T58" s="54">
        <f>T57/DAY(DATE(YEAR(T$10),MONTH(T$10)+1,0))</f>
        <v/>
      </c>
      <c r="U58" s="54">
        <f>U57/DAY(DATE(YEAR(U$10),MONTH(U$10)+1,0))</f>
        <v/>
      </c>
      <c r="V58" s="54">
        <f>V57/DAY(DATE(YEAR(V$10),MONTH(V$10)+1,0))</f>
        <v/>
      </c>
      <c r="W58" s="54">
        <f>W57/DAY(DATE(YEAR(W$10),MONTH(W$10)+1,0))</f>
        <v/>
      </c>
      <c r="X58" s="54">
        <f>X57/DAY(DATE(YEAR(X$10),MONTH(X$10)+1,0))</f>
        <v/>
      </c>
      <c r="Y58" s="54">
        <f>Y57/DAY(DATE(YEAR(Y$10),MONTH(Y$10)+1,0))</f>
        <v/>
      </c>
    </row>
    <row r="59">
      <c r="A59" s="55" t="inlineStr">
        <is>
          <t>% DO SALÁRIO COMPROMETIDO</t>
        </is>
      </c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7">
        <f>IF(sal=0,0,K55/sal)</f>
        <v/>
      </c>
      <c r="L59" s="57">
        <f>IF(sal=0,0,L55/sal)</f>
        <v/>
      </c>
      <c r="M59" s="57">
        <f>IF(sal=0,0,M55/sal)</f>
        <v/>
      </c>
      <c r="N59" s="57">
        <f>IF(sal=0,0,N55/sal)</f>
        <v/>
      </c>
      <c r="O59" s="57">
        <f>IF(sal=0,0,O55/sal)</f>
        <v/>
      </c>
      <c r="P59" s="57">
        <f>IF(sal=0,0,P55/sal)</f>
        <v/>
      </c>
      <c r="Q59" s="57">
        <f>IF(sal=0,0,Q55/sal)</f>
        <v/>
      </c>
      <c r="R59" s="57">
        <f>IF(sal=0,0,R55/sal)</f>
        <v/>
      </c>
      <c r="S59" s="57">
        <f>IF(sal=0,0,S55/sal)</f>
        <v/>
      </c>
      <c r="T59" s="57">
        <f>IF(sal=0,0,T55/sal)</f>
        <v/>
      </c>
      <c r="U59" s="57">
        <f>IF(sal=0,0,U55/sal)</f>
        <v/>
      </c>
      <c r="V59" s="57">
        <f>IF(sal=0,0,V55/sal)</f>
        <v/>
      </c>
      <c r="W59" s="57">
        <f>IF(sal=0,0,W55/sal)</f>
        <v/>
      </c>
      <c r="X59" s="57">
        <f>IF(sal=0,0,X55/sal)</f>
        <v/>
      </c>
      <c r="Y59" s="57">
        <f>IF(sal=0,0,Y55/sal)</f>
        <v/>
      </c>
    </row>
  </sheetData>
  <mergeCells count="31">
    <mergeCell ref="A2:Y2"/>
    <mergeCell ref="C6:D6"/>
    <mergeCell ref="I6:J6"/>
    <mergeCell ref="A53:J53"/>
    <mergeCell ref="G8:H8"/>
    <mergeCell ref="A52:J52"/>
    <mergeCell ref="E8:F8"/>
    <mergeCell ref="A6:B6"/>
    <mergeCell ref="A7:B7"/>
    <mergeCell ref="A58:J58"/>
    <mergeCell ref="G7:H7"/>
    <mergeCell ref="I7:J7"/>
    <mergeCell ref="A59:J59"/>
    <mergeCell ref="G6:H6"/>
    <mergeCell ref="M7:N7"/>
    <mergeCell ref="E6:F6"/>
    <mergeCell ref="M6:N6"/>
    <mergeCell ref="K8:L8"/>
    <mergeCell ref="A1:Y1"/>
    <mergeCell ref="A54:J54"/>
    <mergeCell ref="I8:J8"/>
    <mergeCell ref="A8:B8"/>
    <mergeCell ref="M8:N8"/>
    <mergeCell ref="C8:D8"/>
    <mergeCell ref="K7:L7"/>
    <mergeCell ref="C7:D7"/>
    <mergeCell ref="E7:F7"/>
    <mergeCell ref="A56:J56"/>
    <mergeCell ref="A55:J55"/>
    <mergeCell ref="A57:J57"/>
    <mergeCell ref="K6:L6"/>
  </mergeCells>
  <conditionalFormatting sqref="A11:A50">
    <cfRule type="cellIs" priority="1" operator="equal" dxfId="0">
      <formula>"Quitado"</formula>
    </cfRule>
    <cfRule type="cellIs" priority="2" operator="equal" dxfId="1">
      <formula>"Ativo"</formula>
    </cfRule>
    <cfRule type="cellIs" priority="3" operator="equal" dxfId="2">
      <formula>"Fixo"</formula>
    </cfRule>
    <cfRule type="cellIs" priority="4" operator="equal" dxfId="3">
      <formula>"Última parcela"</formula>
    </cfRule>
    <cfRule type="cellIs" priority="5" operator="equal" dxfId="4">
      <formula>"Falta 1º mês"</formula>
    </cfRule>
  </conditionalFormatting>
  <conditionalFormatting sqref="K11:Y50">
    <cfRule type="expression" priority="6" dxfId="5">
      <formula>AND(K11&lt;&gt;"",K$10=$J11)</formula>
    </cfRule>
    <cfRule type="expression" priority="7" dxfId="6">
      <formula>K$10=sel</formula>
    </cfRule>
  </conditionalFormatting>
  <conditionalFormatting sqref="K10:Y10">
    <cfRule type="expression" priority="8" dxfId="7">
      <formula>K$10=sel</formula>
    </cfRule>
  </conditionalFormatting>
  <conditionalFormatting sqref="A11:Y50">
    <cfRule type="expression" priority="9" dxfId="8">
      <formula>$A11="Quitado"</formula>
    </cfRule>
  </conditionalFormatting>
  <conditionalFormatting sqref="K57:Y57">
    <cfRule type="cellIs" priority="10" operator="lessThan" dxfId="9">
      <formula>0</formula>
    </cfRule>
  </conditionalFormatting>
  <conditionalFormatting sqref="K58:Y58">
    <cfRule type="cellIs" priority="11" operator="lessThan" dxfId="9">
      <formula>0</formula>
    </cfRule>
  </conditionalFormatting>
  <conditionalFormatting sqref="I7:L7">
    <cfRule type="cellIs" priority="12" operator="lessThan" dxfId="10">
      <formula>0</formula>
    </cfRule>
  </conditionalFormatting>
  <dataValidations count="3">
    <dataValidation sqref="B4" showDropDown="0" showInputMessage="1" showErrorMessage="1" allowBlank="1" error="Escolha um item da lista." prompt="Escolha o mês." type="list">
      <formula1>'Contas Mensais'!$K$10:$Y$10</formula1>
    </dataValidation>
    <dataValidation sqref="D11:D50" showDropDown="0" showInputMessage="1" showErrorMessage="1" allowBlank="1" error="Escolha um item da lista." prompt="Cartão = entra na fatura. Pix/Boleto = sai da conta. Caixinha = meta de economia." type="list">
      <formula1>"Cartão,Pix,Boleto,Caixinha"</formula1>
    </dataValidation>
    <dataValidation sqref="G11:G50" showDropDown="0" showInputMessage="1" showErrorMessage="0" allowBlank="1" error="Escolha um item da lista." prompt="Mês da 1ª parcela. No cartão, é o mês da FATURA. Pode digitar um mês anterior (ex.: 01/05/2026)." type="list">
      <formula1>'Contas Mensais'!$K$10:$Y$10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P2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30" customWidth="1" min="3" max="3"/>
    <col width="20" customWidth="1" min="4" max="4"/>
    <col width="15" customWidth="1" min="5" max="5"/>
    <col width="13" customWidth="1" min="6" max="6"/>
    <col width="10" customWidth="1" min="7" max="7"/>
    <col width="3" customWidth="1" min="8" max="8"/>
    <col width="12" customWidth="1" min="9" max="9"/>
    <col width="11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</cols>
  <sheetData>
    <row r="1" ht="30" customHeight="1">
      <c r="A1" s="2" t="n"/>
      <c r="B1" s="58" t="inlineStr">
        <is>
          <t>GASTOS DO MÊS — LIMITE SEMANAL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59" t="inlineStr">
        <is>
          <t>Anote aqui TODO gasto do dia a dia. Os limites das semanas são editáveis (células amarelas). Os gastos no CARTÃO entram sozinhos na fatura do mês seguinte, na aba Contas Mensais.</t>
        </is>
      </c>
    </row>
    <row r="4">
      <c r="B4" s="4" t="inlineStr">
        <is>
          <t>Mês:</t>
        </is>
      </c>
      <c r="C4" s="60" t="n">
        <v>46296</v>
      </c>
      <c r="D4" s="4" t="inlineStr">
        <is>
          <t>Limite do mês:</t>
        </is>
      </c>
      <c r="E4" s="61" t="n">
        <v>800</v>
      </c>
      <c r="F4" s="7" t="inlineStr">
        <is>
          <t>◄ troque o mês e o limite quando começar um mês novo</t>
        </is>
      </c>
    </row>
    <row r="5">
      <c r="C5" s="62">
        <f>DATE(YEAR(gm_Mes),MONTH(gm_Mes)+1,0)</f>
        <v/>
      </c>
    </row>
    <row r="7" ht="26" customHeight="1">
      <c r="B7" s="16" t="inlineStr">
        <is>
          <t>LIMITE DO MÊS</t>
        </is>
      </c>
      <c r="C7" s="17" t="n"/>
      <c r="D7" s="14" t="inlineStr">
        <is>
          <t>JÁ GASTEI</t>
        </is>
      </c>
      <c r="E7" s="15" t="n"/>
      <c r="F7" s="12" t="inlineStr">
        <is>
          <t>AINDA POSSO GASTAR</t>
        </is>
      </c>
      <c r="G7" s="13" t="n"/>
      <c r="I7" s="12" t="inlineStr">
        <is>
          <t>POR DIA (daqui até o fim do mês)</t>
        </is>
      </c>
      <c r="J7" s="13" t="n"/>
      <c r="K7" s="8" t="inlineStr">
        <is>
          <t>RESPIRO PREVISTO NO SALÁRIO SEGUINTE</t>
        </is>
      </c>
      <c r="L7" s="9" t="n"/>
      <c r="M7" s="9" t="n"/>
      <c r="N7" s="8" t="inlineStr">
        <is>
          <t>RESPIRO SE USAR TODO O LIMITE</t>
        </is>
      </c>
      <c r="O7" s="9" t="n"/>
      <c r="P7" s="9" t="n"/>
    </row>
    <row r="8" ht="30" customHeight="1">
      <c r="B8" s="63">
        <f>gm_Lim</f>
        <v/>
      </c>
      <c r="C8" s="19" t="n"/>
      <c r="D8" s="64">
        <f>SUMIFS(gm_Val,gm_Data,"&gt;="&amp;gm_Mes,gm_Data,"&lt;="&amp;gm_Fim)</f>
        <v/>
      </c>
      <c r="E8" s="19" t="n"/>
      <c r="F8" s="65">
        <f>gm_Lim-SUMIFS(gm_Val,gm_Data,"&gt;="&amp;gm_Mes,gm_Data,"&lt;="&amp;gm_Fim)</f>
        <v/>
      </c>
      <c r="G8" s="19" t="n"/>
      <c r="I8" s="65">
        <f>IF(TODAY()&gt;gm_Fim,0,(gm_Lim-SUMIFS(gm_Val,gm_Data,"&gt;="&amp;gm_Mes,gm_Data,"&lt;="&amp;gm_Fim))/MAX(1,gm_Fim-IF(TODAY()&lt;gm_Mes,gm_Mes,TODAY())+1))</f>
        <v/>
      </c>
      <c r="J8" s="19" t="n"/>
      <c r="K8" s="66">
        <f>IFERROR(INDEX('Contas Mensais'!$K$57:$Y$57,MATCH(DATE(YEAR(gm_Mes),MONTH(gm_Mes)+1,1),'Contas Mensais'!$K$10:$Y$10,0)),0)-SUMIFS(gm_Val,gm_Pag,"&lt;&gt;Cartão",gm_Data,"&gt;="&amp;gm_Mes,gm_Data,"&lt;="&amp;gm_Fim)</f>
        <v/>
      </c>
      <c r="L8" s="19" t="n"/>
      <c r="M8" s="19" t="n"/>
      <c r="N8" s="66">
        <f>IFERROR(INDEX('Contas Mensais'!$K$57:$Y$57,MATCH(DATE(YEAR(gm_Mes),MONTH(gm_Mes)+1,1),'Contas Mensais'!$K$10:$Y$10,0)),0)-SUMIFS(gm_Val,gm_Pag,"&lt;&gt;Cartão",gm_Data,"&gt;="&amp;gm_Mes,gm_Data,"&lt;="&amp;gm_Fim)-MAX(0,gm_Lim-SUMIFS(gm_Val,gm_Data,"&gt;="&amp;gm_Mes,gm_Data,"&lt;="&amp;gm_Fim))</f>
        <v/>
      </c>
      <c r="O8" s="19" t="n"/>
      <c r="P8" s="19" t="n"/>
    </row>
    <row r="9">
      <c r="B9" s="24" t="n"/>
      <c r="C9" s="25" t="n"/>
      <c r="D9" s="24">
        <f>IF(gm_Lim=0,"",TEXT(SUMIFS(gm_Val,gm_Data,"&gt;="&amp;gm_Mes,gm_Data,"&lt;="&amp;gm_Fim)/gm_Lim,"0%")&amp;" do limite")</f>
        <v/>
      </c>
      <c r="E9" s="25" t="n"/>
      <c r="F9" s="24">
        <f>IF(AND(TODAY()&gt;=gm_Mes,TODAY()&lt;=gm_Fim),"faltam "&amp;MAX(1,gm_Fim-IF(TODAY()&lt;gm_Mes,gm_Mes,TODAY())+1)&amp;" dias","")</f>
        <v/>
      </c>
      <c r="G9" s="25" t="n"/>
      <c r="I9" s="24" t="n"/>
      <c r="J9" s="25" t="n"/>
      <c r="K9" s="24">
        <f>"sobra da aba Contas Mensais − gastos no débito/Pix"</f>
        <v/>
      </c>
      <c r="L9" s="25" t="n"/>
      <c r="M9" s="25" t="n"/>
      <c r="N9" s="24" t="n"/>
      <c r="O9" s="25" t="n"/>
      <c r="P9" s="25" t="n"/>
    </row>
    <row r="11">
      <c r="B11" s="67" t="inlineStr">
        <is>
          <t>LIMITE POR SEMANA</t>
        </is>
      </c>
    </row>
    <row r="12" ht="30" customHeight="1">
      <c r="B12" s="27" t="inlineStr">
        <is>
          <t>Semana</t>
        </is>
      </c>
      <c r="C12" s="27" t="inlineStr">
        <is>
          <t>De</t>
        </is>
      </c>
      <c r="D12" s="27" t="inlineStr">
        <is>
          <t>Até</t>
        </is>
      </c>
      <c r="E12" s="68" t="inlineStr">
        <is>
          <t>Limite (editável)</t>
        </is>
      </c>
      <c r="F12" s="27" t="inlineStr">
        <is>
          <t>Gastei</t>
        </is>
      </c>
      <c r="G12" s="27" t="inlineStr">
        <is>
          <t>Sobrou na semana</t>
        </is>
      </c>
      <c r="I12" s="27" t="inlineStr">
        <is>
          <t>Saldo acumulado do mês</t>
        </is>
      </c>
      <c r="J12" s="27" t="inlineStr">
        <is>
          <t>% usado</t>
        </is>
      </c>
      <c r="K12" s="27" t="inlineStr">
        <is>
          <t>Situação</t>
        </is>
      </c>
    </row>
    <row r="13">
      <c r="B13" s="69" t="inlineStr">
        <is>
          <t>Semana 1</t>
        </is>
      </c>
      <c r="C13" s="70">
        <f>IF(DATE(YEAR(gm_Mes),MONTH(gm_Mes),1)&gt;gm_Fim,"",DATE(YEAR(gm_Mes),MONTH(gm_Mes),1))</f>
        <v/>
      </c>
      <c r="D13" s="70">
        <f>IF(C13="","",MIN(gm_Fim,C13+6))</f>
        <v/>
      </c>
      <c r="E13" s="71" t="n">
        <v>180</v>
      </c>
      <c r="F13" s="72">
        <f>SUMIFS(gm_Val,gm_Sem,1)</f>
        <v/>
      </c>
      <c r="G13" s="72">
        <f>IF(C13="","",E13-F13)</f>
        <v/>
      </c>
      <c r="I13" s="72">
        <f>IF(C13="","",SUM($E$13:E13)-SUM($F$13:F13))</f>
        <v/>
      </c>
      <c r="J13" s="73">
        <f>IF(OR(C13="",N(E13)=0),"",F13/E13)</f>
        <v/>
      </c>
      <c r="K13" s="69">
        <f>IF(C13="","",IF(TODAY()&lt;C13,"ainda não começou",IF(F13&gt;E13,"passou do limite",IF(TODAY()&lt;=D13,"em andamento","dentro do limite ✔"))))</f>
        <v/>
      </c>
      <c r="L13" s="69" t="n"/>
    </row>
    <row r="14">
      <c r="B14" s="69" t="inlineStr">
        <is>
          <t>Semana 2</t>
        </is>
      </c>
      <c r="C14" s="70">
        <f>IF(DATE(YEAR(gm_Mes),MONTH(gm_Mes),8)&gt;gm_Fim,"",DATE(YEAR(gm_Mes),MONTH(gm_Mes),8))</f>
        <v/>
      </c>
      <c r="D14" s="70">
        <f>IF(C14="","",MIN(gm_Fim,C14+6))</f>
        <v/>
      </c>
      <c r="E14" s="71" t="n">
        <v>180</v>
      </c>
      <c r="F14" s="72">
        <f>SUMIFS(gm_Val,gm_Sem,2)</f>
        <v/>
      </c>
      <c r="G14" s="72">
        <f>IF(C14="","",E14-F14)</f>
        <v/>
      </c>
      <c r="I14" s="72">
        <f>IF(C14="","",SUM($E$13:E14)-SUM($F$13:F14))</f>
        <v/>
      </c>
      <c r="J14" s="73">
        <f>IF(OR(C14="",N(E14)=0),"",F14/E14)</f>
        <v/>
      </c>
      <c r="K14" s="69">
        <f>IF(C14="","",IF(TODAY()&lt;C14,"ainda não começou",IF(F14&gt;E14,"passou do limite",IF(TODAY()&lt;=D14,"em andamento","dentro do limite ✔"))))</f>
        <v/>
      </c>
      <c r="L14" s="69" t="n"/>
    </row>
    <row r="15">
      <c r="B15" s="69" t="inlineStr">
        <is>
          <t>Semana 3</t>
        </is>
      </c>
      <c r="C15" s="70">
        <f>IF(DATE(YEAR(gm_Mes),MONTH(gm_Mes),15)&gt;gm_Fim,"",DATE(YEAR(gm_Mes),MONTH(gm_Mes),15))</f>
        <v/>
      </c>
      <c r="D15" s="70">
        <f>IF(C15="","",MIN(gm_Fim,C15+6))</f>
        <v/>
      </c>
      <c r="E15" s="71" t="n">
        <v>180</v>
      </c>
      <c r="F15" s="72">
        <f>SUMIFS(gm_Val,gm_Sem,3)</f>
        <v/>
      </c>
      <c r="G15" s="72">
        <f>IF(C15="","",E15-F15)</f>
        <v/>
      </c>
      <c r="I15" s="72">
        <f>IF(C15="","",SUM($E$13:E15)-SUM($F$13:F15))</f>
        <v/>
      </c>
      <c r="J15" s="73">
        <f>IF(OR(C15="",N(E15)=0),"",F15/E15)</f>
        <v/>
      </c>
      <c r="K15" s="69">
        <f>IF(C15="","",IF(TODAY()&lt;C15,"ainda não começou",IF(F15&gt;E15,"passou do limite",IF(TODAY()&lt;=D15,"em andamento","dentro do limite ✔"))))</f>
        <v/>
      </c>
      <c r="L15" s="69" t="n"/>
    </row>
    <row r="16">
      <c r="B16" s="69" t="inlineStr">
        <is>
          <t>Semana 4</t>
        </is>
      </c>
      <c r="C16" s="70">
        <f>IF(DATE(YEAR(gm_Mes),MONTH(gm_Mes),22)&gt;gm_Fim,"",DATE(YEAR(gm_Mes),MONTH(gm_Mes),22))</f>
        <v/>
      </c>
      <c r="D16" s="70">
        <f>IF(C16="","",MIN(gm_Fim,C16+6))</f>
        <v/>
      </c>
      <c r="E16" s="71" t="n">
        <v>180</v>
      </c>
      <c r="F16" s="72">
        <f>SUMIFS(gm_Val,gm_Sem,4)</f>
        <v/>
      </c>
      <c r="G16" s="72">
        <f>IF(C16="","",E16-F16)</f>
        <v/>
      </c>
      <c r="I16" s="72">
        <f>IF(C16="","",SUM($E$13:E16)-SUM($F$13:F16))</f>
        <v/>
      </c>
      <c r="J16" s="73">
        <f>IF(OR(C16="",N(E16)=0),"",F16/E16)</f>
        <v/>
      </c>
      <c r="K16" s="69">
        <f>IF(C16="","",IF(TODAY()&lt;C16,"ainda não começou",IF(F16&gt;E16,"passou do limite",IF(TODAY()&lt;=D16,"em andamento","dentro do limite ✔"))))</f>
        <v/>
      </c>
      <c r="L16" s="69" t="n"/>
    </row>
    <row r="17">
      <c r="B17" s="69" t="inlineStr">
        <is>
          <t>Semana 5</t>
        </is>
      </c>
      <c r="C17" s="70">
        <f>IF(DATE(YEAR(gm_Mes),MONTH(gm_Mes),29)&gt;gm_Fim,"",DATE(YEAR(gm_Mes),MONTH(gm_Mes),29))</f>
        <v/>
      </c>
      <c r="D17" s="70">
        <f>IF(C17="","",MIN(gm_Fim,C17+6))</f>
        <v/>
      </c>
      <c r="E17" s="71">
        <f>IF(C17="",0,MAX(0,gm_Lim-SUM(E13:E16)))</f>
        <v/>
      </c>
      <c r="F17" s="72">
        <f>SUMIFS(gm_Val,gm_Sem,5)</f>
        <v/>
      </c>
      <c r="G17" s="72">
        <f>IF(C17="","",E17-F17)</f>
        <v/>
      </c>
      <c r="I17" s="72">
        <f>IF(C17="","",SUM($E$13:E17)-SUM($F$13:F17))</f>
        <v/>
      </c>
      <c r="J17" s="73">
        <f>IF(OR(C17="",N(E17)=0),"",F17/E17)</f>
        <v/>
      </c>
      <c r="K17" s="69">
        <f>IF(C17="","",IF(TODAY()&lt;C17,"ainda não começou",IF(F17&gt;E17,"passou do limite",IF(TODAY()&lt;=D17,"em andamento","dentro do limite ✔"))))</f>
        <v/>
      </c>
      <c r="L17" s="69" t="n"/>
    </row>
    <row r="18">
      <c r="B18" s="74" t="inlineStr">
        <is>
          <t>Mês</t>
        </is>
      </c>
      <c r="C18" s="74" t="n"/>
      <c r="D18" s="74" t="n"/>
      <c r="E18" s="75">
        <f>SUM(E13:E17)</f>
        <v/>
      </c>
      <c r="F18" s="75">
        <f>SUM(F13:F17)</f>
        <v/>
      </c>
      <c r="G18" s="75">
        <f>E18-F18</f>
        <v/>
      </c>
      <c r="I18" s="74" t="n"/>
      <c r="J18" s="76">
        <f>IF(E18=0,"",F18/E18)</f>
        <v/>
      </c>
      <c r="K18" s="74">
        <f>IF(ROUND(E18,2)&lt;&gt;ROUND(gm_Lim,2),"⚠ semanas somam "&amp;TEXT(E18,"0")&amp;" (limite "&amp;TEXT(gm_Lim,"0")&amp;")","semanas = limite do mês ✔")</f>
        <v/>
      </c>
      <c r="L18" s="74" t="n"/>
    </row>
    <row r="19">
      <c r="B19" s="77" t="inlineStr">
        <is>
          <t>A semana 5 recebe automaticamente o que faltar para completar o limite do mês (pode digitar outro valor). Se passar do limite numa semana, o 'Saldo acumulado' mostra quanto compensar nas próximas.</t>
        </is>
      </c>
    </row>
    <row r="20"/>
    <row r="24">
      <c r="B24" s="67" t="inlineStr">
        <is>
          <t>ANOTE SEUS GASTOS</t>
        </is>
      </c>
      <c r="I24" s="67" t="inlineStr">
        <is>
          <t>ONDE ESTOU GASTANDO</t>
        </is>
      </c>
    </row>
    <row r="25">
      <c r="B25" s="78" t="inlineStr">
        <is>
          <t>Data</t>
        </is>
      </c>
      <c r="C25" s="78" t="inlineStr">
        <is>
          <t>Descrição</t>
        </is>
      </c>
      <c r="D25" s="78" t="inlineStr">
        <is>
          <t>Categoria</t>
        </is>
      </c>
      <c r="E25" s="78" t="inlineStr">
        <is>
          <t>Pago com</t>
        </is>
      </c>
      <c r="F25" s="78" t="inlineStr">
        <is>
          <t>Valor</t>
        </is>
      </c>
      <c r="G25" s="79" t="inlineStr">
        <is>
          <t>Semana</t>
        </is>
      </c>
      <c r="I25" s="79" t="inlineStr">
        <is>
          <t>Categoria</t>
        </is>
      </c>
      <c r="J25" s="80" t="n"/>
      <c r="K25" s="79" t="inlineStr">
        <is>
          <t>Gasto</t>
        </is>
      </c>
      <c r="L25" s="79" t="inlineStr">
        <is>
          <t>% do total</t>
        </is>
      </c>
    </row>
    <row r="26">
      <c r="B26" s="81" t="n">
        <v>46297</v>
      </c>
      <c r="C26" s="31" t="inlineStr">
        <is>
          <t>Mercado da semana</t>
        </is>
      </c>
      <c r="D26" s="31" t="inlineStr">
        <is>
          <t>Mercado</t>
        </is>
      </c>
      <c r="E26" s="31" t="inlineStr">
        <is>
          <t>Cartão</t>
        </is>
      </c>
      <c r="F26" s="32" t="n">
        <v>120.5</v>
      </c>
      <c r="G26" s="30">
        <f>IF(B26="","",IF(OR(B26&lt;gm_Mes,B26&gt;gm_Fim),"fora do mês",ROUNDUP(DAY(B26)/7,0)))</f>
        <v/>
      </c>
      <c r="I26" s="82" t="inlineStr">
        <is>
          <t>Mercado</t>
        </is>
      </c>
      <c r="J26" s="82" t="n"/>
      <c r="K26" s="83">
        <f>SUMIFS(gm_Val,gm_Cat,I26,gm_Data,"&gt;="&amp;gm_Mes,gm_Data,"&lt;="&amp;gm_Fim)</f>
        <v/>
      </c>
      <c r="L26" s="84">
        <f>IF(SUMIFS(gm_Val,gm_Data,"&gt;="&amp;gm_Mes,gm_Data,"&lt;="&amp;gm_Fim)=0,0,K26/SUMIFS(gm_Val,gm_Data,"&gt;="&amp;gm_Mes,gm_Data,"&lt;="&amp;gm_Fim))</f>
        <v/>
      </c>
    </row>
    <row r="27">
      <c r="B27" s="81" t="n">
        <v>46298</v>
      </c>
      <c r="C27" s="31" t="inlineStr">
        <is>
          <t>Uber</t>
        </is>
      </c>
      <c r="D27" s="31" t="inlineStr">
        <is>
          <t>Uber / transporte</t>
        </is>
      </c>
      <c r="E27" s="31" t="inlineStr">
        <is>
          <t>Cartão</t>
        </is>
      </c>
      <c r="F27" s="32" t="n">
        <v>18.9</v>
      </c>
      <c r="G27" s="30">
        <f>IF(B27="","",IF(OR(B27&lt;gm_Mes,B27&gt;gm_Fim),"fora do mês",ROUNDUP(DAY(B27)/7,0)))</f>
        <v/>
      </c>
      <c r="I27" s="82" t="inlineStr">
        <is>
          <t>Uber / transporte</t>
        </is>
      </c>
      <c r="J27" s="82" t="n"/>
      <c r="K27" s="83">
        <f>SUMIFS(gm_Val,gm_Cat,I27,gm_Data,"&gt;="&amp;gm_Mes,gm_Data,"&lt;="&amp;gm_Fim)</f>
        <v/>
      </c>
      <c r="L27" s="84">
        <f>IF(SUMIFS(gm_Val,gm_Data,"&gt;="&amp;gm_Mes,gm_Data,"&lt;="&amp;gm_Fim)=0,0,K27/SUMIFS(gm_Val,gm_Data,"&gt;="&amp;gm_Mes,gm_Data,"&lt;="&amp;gm_Fim))</f>
        <v/>
      </c>
    </row>
    <row r="28">
      <c r="B28" s="81" t="n">
        <v>46300</v>
      </c>
      <c r="C28" s="31" t="inlineStr">
        <is>
          <t>Almoço</t>
        </is>
      </c>
      <c r="D28" s="31" t="inlineStr">
        <is>
          <t>Delivery / restaurante</t>
        </is>
      </c>
      <c r="E28" s="31" t="inlineStr">
        <is>
          <t>Débito</t>
        </is>
      </c>
      <c r="F28" s="32" t="n">
        <v>35</v>
      </c>
      <c r="G28" s="30">
        <f>IF(B28="","",IF(OR(B28&lt;gm_Mes,B28&gt;gm_Fim),"fora do mês",ROUNDUP(DAY(B28)/7,0)))</f>
        <v/>
      </c>
      <c r="I28" s="82" t="inlineStr">
        <is>
          <t>Delivery / restaurante</t>
        </is>
      </c>
      <c r="J28" s="82" t="n"/>
      <c r="K28" s="83">
        <f>SUMIFS(gm_Val,gm_Cat,I28,gm_Data,"&gt;="&amp;gm_Mes,gm_Data,"&lt;="&amp;gm_Fim)</f>
        <v/>
      </c>
      <c r="L28" s="84">
        <f>IF(SUMIFS(gm_Val,gm_Data,"&gt;="&amp;gm_Mes,gm_Data,"&lt;="&amp;gm_Fim)=0,0,K28/SUMIFS(gm_Val,gm_Data,"&gt;="&amp;gm_Mes,gm_Data,"&lt;="&amp;gm_Fim))</f>
        <v/>
      </c>
    </row>
    <row r="29">
      <c r="B29" s="81" t="n">
        <v>46304</v>
      </c>
      <c r="C29" s="31" t="inlineStr">
        <is>
          <t>Farmácia</t>
        </is>
      </c>
      <c r="D29" s="31" t="inlineStr">
        <is>
          <t>Saúde / farmácia</t>
        </is>
      </c>
      <c r="E29" s="31" t="inlineStr">
        <is>
          <t>Pix</t>
        </is>
      </c>
      <c r="F29" s="32" t="n">
        <v>27.8</v>
      </c>
      <c r="G29" s="30">
        <f>IF(B29="","",IF(OR(B29&lt;gm_Mes,B29&gt;gm_Fim),"fora do mês",ROUNDUP(DAY(B29)/7,0)))</f>
        <v/>
      </c>
      <c r="I29" s="82" t="inlineStr">
        <is>
          <t>Lazer</t>
        </is>
      </c>
      <c r="J29" s="82" t="n"/>
      <c r="K29" s="83">
        <f>SUMIFS(gm_Val,gm_Cat,I29,gm_Data,"&gt;="&amp;gm_Mes,gm_Data,"&lt;="&amp;gm_Fim)</f>
        <v/>
      </c>
      <c r="L29" s="84">
        <f>IF(SUMIFS(gm_Val,gm_Data,"&gt;="&amp;gm_Mes,gm_Data,"&lt;="&amp;gm_Fim)=0,0,K29/SUMIFS(gm_Val,gm_Data,"&gt;="&amp;gm_Mes,gm_Data,"&lt;="&amp;gm_Fim))</f>
        <v/>
      </c>
    </row>
    <row r="30">
      <c r="B30" s="81" t="n"/>
      <c r="C30" s="31" t="n"/>
      <c r="D30" s="31" t="n"/>
      <c r="E30" s="31" t="n"/>
      <c r="F30" s="32" t="n"/>
      <c r="G30" s="30">
        <f>IF(B30="","",IF(OR(B30&lt;gm_Mes,B30&gt;gm_Fim),"fora do mês",ROUNDUP(DAY(B30)/7,0)))</f>
        <v/>
      </c>
      <c r="I30" s="82" t="inlineStr">
        <is>
          <t>Beleza / cuidados</t>
        </is>
      </c>
      <c r="J30" s="82" t="n"/>
      <c r="K30" s="83">
        <f>SUMIFS(gm_Val,gm_Cat,I30,gm_Data,"&gt;="&amp;gm_Mes,gm_Data,"&lt;="&amp;gm_Fim)</f>
        <v/>
      </c>
      <c r="L30" s="84">
        <f>IF(SUMIFS(gm_Val,gm_Data,"&gt;="&amp;gm_Mes,gm_Data,"&lt;="&amp;gm_Fim)=0,0,K30/SUMIFS(gm_Val,gm_Data,"&gt;="&amp;gm_Mes,gm_Data,"&lt;="&amp;gm_Fim))</f>
        <v/>
      </c>
    </row>
    <row r="31">
      <c r="B31" s="81" t="n"/>
      <c r="C31" s="31" t="n"/>
      <c r="D31" s="31" t="n"/>
      <c r="E31" s="31" t="n"/>
      <c r="F31" s="32" t="n"/>
      <c r="G31" s="30">
        <f>IF(B31="","",IF(OR(B31&lt;gm_Mes,B31&gt;gm_Fim),"fora do mês",ROUNDUP(DAY(B31)/7,0)))</f>
        <v/>
      </c>
      <c r="I31" s="82" t="inlineStr">
        <is>
          <t>Saúde / farmácia</t>
        </is>
      </c>
      <c r="J31" s="82" t="n"/>
      <c r="K31" s="83">
        <f>SUMIFS(gm_Val,gm_Cat,I31,gm_Data,"&gt;="&amp;gm_Mes,gm_Data,"&lt;="&amp;gm_Fim)</f>
        <v/>
      </c>
      <c r="L31" s="84">
        <f>IF(SUMIFS(gm_Val,gm_Data,"&gt;="&amp;gm_Mes,gm_Data,"&lt;="&amp;gm_Fim)=0,0,K31/SUMIFS(gm_Val,gm_Data,"&gt;="&amp;gm_Mes,gm_Data,"&lt;="&amp;gm_Fim))</f>
        <v/>
      </c>
    </row>
    <row r="32">
      <c r="B32" s="81" t="n"/>
      <c r="C32" s="31" t="n"/>
      <c r="D32" s="31" t="n"/>
      <c r="E32" s="31" t="n"/>
      <c r="F32" s="32" t="n"/>
      <c r="G32" s="30">
        <f>IF(B32="","",IF(OR(B32&lt;gm_Mes,B32&gt;gm_Fim),"fora do mês",ROUNDUP(DAY(B32)/7,0)))</f>
        <v/>
      </c>
      <c r="I32" s="82" t="inlineStr">
        <is>
          <t>Compras</t>
        </is>
      </c>
      <c r="J32" s="82" t="n"/>
      <c r="K32" s="83">
        <f>SUMIFS(gm_Val,gm_Cat,I32,gm_Data,"&gt;="&amp;gm_Mes,gm_Data,"&lt;="&amp;gm_Fim)</f>
        <v/>
      </c>
      <c r="L32" s="84">
        <f>IF(SUMIFS(gm_Val,gm_Data,"&gt;="&amp;gm_Mes,gm_Data,"&lt;="&amp;gm_Fim)=0,0,K32/SUMIFS(gm_Val,gm_Data,"&gt;="&amp;gm_Mes,gm_Data,"&lt;="&amp;gm_Fim))</f>
        <v/>
      </c>
    </row>
    <row r="33">
      <c r="B33" s="81" t="n"/>
      <c r="C33" s="31" t="n"/>
      <c r="D33" s="31" t="n"/>
      <c r="E33" s="31" t="n"/>
      <c r="F33" s="32" t="n"/>
      <c r="G33" s="30">
        <f>IF(B33="","",IF(OR(B33&lt;gm_Mes,B33&gt;gm_Fim),"fora do mês",ROUNDUP(DAY(B33)/7,0)))</f>
        <v/>
      </c>
      <c r="I33" s="82" t="inlineStr">
        <is>
          <t>Presentes</t>
        </is>
      </c>
      <c r="J33" s="82" t="n"/>
      <c r="K33" s="83">
        <f>SUMIFS(gm_Val,gm_Cat,I33,gm_Data,"&gt;="&amp;gm_Mes,gm_Data,"&lt;="&amp;gm_Fim)</f>
        <v/>
      </c>
      <c r="L33" s="84">
        <f>IF(SUMIFS(gm_Val,gm_Data,"&gt;="&amp;gm_Mes,gm_Data,"&lt;="&amp;gm_Fim)=0,0,K33/SUMIFS(gm_Val,gm_Data,"&gt;="&amp;gm_Mes,gm_Data,"&lt;="&amp;gm_Fim))</f>
        <v/>
      </c>
    </row>
    <row r="34">
      <c r="B34" s="81" t="n"/>
      <c r="C34" s="31" t="n"/>
      <c r="D34" s="31" t="n"/>
      <c r="E34" s="31" t="n"/>
      <c r="F34" s="32" t="n"/>
      <c r="G34" s="30">
        <f>IF(B34="","",IF(OR(B34&lt;gm_Mes,B34&gt;gm_Fim),"fora do mês",ROUNDUP(DAY(B34)/7,0)))</f>
        <v/>
      </c>
      <c r="I34" s="82" t="inlineStr">
        <is>
          <t>Outros</t>
        </is>
      </c>
      <c r="J34" s="82" t="n"/>
      <c r="K34" s="83">
        <f>SUMIFS(gm_Val,gm_Cat,I34,gm_Data,"&gt;="&amp;gm_Mes,gm_Data,"&lt;="&amp;gm_Fim)</f>
        <v/>
      </c>
      <c r="L34" s="84">
        <f>IF(SUMIFS(gm_Val,gm_Data,"&gt;="&amp;gm_Mes,gm_Data,"&lt;="&amp;gm_Fim)=0,0,K34/SUMIFS(gm_Val,gm_Data,"&gt;="&amp;gm_Mes,gm_Data,"&lt;="&amp;gm_Fim))</f>
        <v/>
      </c>
    </row>
    <row r="35">
      <c r="B35" s="81" t="n"/>
      <c r="C35" s="31" t="n"/>
      <c r="D35" s="31" t="n"/>
      <c r="E35" s="31" t="n"/>
      <c r="F35" s="32" t="n"/>
      <c r="G35" s="30">
        <f>IF(B35="","",IF(OR(B35&lt;gm_Mes,B35&gt;gm_Fim),"fora do mês",ROUNDUP(DAY(B35)/7,0)))</f>
        <v/>
      </c>
      <c r="I35" s="85" t="inlineStr">
        <is>
          <t>Total</t>
        </is>
      </c>
      <c r="J35" s="85" t="n"/>
      <c r="K35" s="86">
        <f>SUMIFS(gm_Val,gm_Data,"&gt;="&amp;gm_Mes,gm_Data,"&lt;="&amp;gm_Fim)</f>
        <v/>
      </c>
      <c r="L35" s="87">
        <f>IF(SUMIFS(gm_Val,gm_Data,"&gt;="&amp;gm_Mes,gm_Data,"&lt;="&amp;gm_Fim)=0,0,K35/SUMIFS(gm_Val,gm_Data,"&gt;="&amp;gm_Mes,gm_Data,"&lt;="&amp;gm_Fim))</f>
        <v/>
      </c>
    </row>
    <row r="36">
      <c r="B36" s="81" t="n"/>
      <c r="C36" s="31" t="n"/>
      <c r="D36" s="31" t="n"/>
      <c r="E36" s="31" t="n"/>
      <c r="F36" s="32" t="n"/>
      <c r="G36" s="30">
        <f>IF(B36="","",IF(OR(B36&lt;gm_Mes,B36&gt;gm_Fim),"fora do mês",ROUNDUP(DAY(B36)/7,0)))</f>
        <v/>
      </c>
    </row>
    <row r="37">
      <c r="B37" s="81" t="n"/>
      <c r="C37" s="31" t="n"/>
      <c r="D37" s="31" t="n"/>
      <c r="E37" s="31" t="n"/>
      <c r="F37" s="32" t="n"/>
      <c r="G37" s="30">
        <f>IF(B37="","",IF(OR(B37&lt;gm_Mes,B37&gt;gm_Fim),"fora do mês",ROUNDUP(DAY(B37)/7,0)))</f>
        <v/>
      </c>
      <c r="I37" s="88" t="inlineStr">
        <is>
          <t>Por forma de pagamento</t>
        </is>
      </c>
    </row>
    <row r="38">
      <c r="B38" s="81" t="n"/>
      <c r="C38" s="31" t="n"/>
      <c r="D38" s="31" t="n"/>
      <c r="E38" s="31" t="n"/>
      <c r="F38" s="32" t="n"/>
      <c r="G38" s="30">
        <f>IF(B38="","",IF(OR(B38&lt;gm_Mes,B38&gt;gm_Fim),"fora do mês",ROUNDUP(DAY(B38)/7,0)))</f>
        <v/>
      </c>
      <c r="I38" s="89" t="inlineStr">
        <is>
          <t>Cartão</t>
        </is>
      </c>
      <c r="J38" s="89" t="n"/>
      <c r="K38" s="90">
        <f>SUMIFS(gm_Val,gm_Pag,I38,gm_Data,"&gt;="&amp;gm_Mes,gm_Data,"&lt;="&amp;gm_Fim)</f>
        <v/>
      </c>
    </row>
    <row r="39">
      <c r="B39" s="81" t="n"/>
      <c r="C39" s="31" t="n"/>
      <c r="D39" s="31" t="n"/>
      <c r="E39" s="31" t="n"/>
      <c r="F39" s="32" t="n"/>
      <c r="G39" s="30">
        <f>IF(B39="","",IF(OR(B39&lt;gm_Mes,B39&gt;gm_Fim),"fora do mês",ROUNDUP(DAY(B39)/7,0)))</f>
        <v/>
      </c>
      <c r="I39" s="89" t="inlineStr">
        <is>
          <t>Débito</t>
        </is>
      </c>
      <c r="J39" s="89" t="n"/>
      <c r="K39" s="90">
        <f>SUMIFS(gm_Val,gm_Pag,I39,gm_Data,"&gt;="&amp;gm_Mes,gm_Data,"&lt;="&amp;gm_Fim)</f>
        <v/>
      </c>
    </row>
    <row r="40">
      <c r="B40" s="81" t="n"/>
      <c r="C40" s="31" t="n"/>
      <c r="D40" s="31" t="n"/>
      <c r="E40" s="31" t="n"/>
      <c r="F40" s="32" t="n"/>
      <c r="G40" s="30">
        <f>IF(B40="","",IF(OR(B40&lt;gm_Mes,B40&gt;gm_Fim),"fora do mês",ROUNDUP(DAY(B40)/7,0)))</f>
        <v/>
      </c>
      <c r="I40" s="89" t="inlineStr">
        <is>
          <t>Pix</t>
        </is>
      </c>
      <c r="J40" s="89" t="n"/>
      <c r="K40" s="90">
        <f>SUMIFS(gm_Val,gm_Pag,I40,gm_Data,"&gt;="&amp;gm_Mes,gm_Data,"&lt;="&amp;gm_Fim)</f>
        <v/>
      </c>
    </row>
    <row r="41">
      <c r="B41" s="81" t="n"/>
      <c r="C41" s="31" t="n"/>
      <c r="D41" s="31" t="n"/>
      <c r="E41" s="31" t="n"/>
      <c r="F41" s="32" t="n"/>
      <c r="G41" s="30">
        <f>IF(B41="","",IF(OR(B41&lt;gm_Mes,B41&gt;gm_Fim),"fora do mês",ROUNDUP(DAY(B41)/7,0)))</f>
        <v/>
      </c>
      <c r="I41" s="89" t="inlineStr">
        <is>
          <t>Dinheiro</t>
        </is>
      </c>
      <c r="J41" s="89" t="n"/>
      <c r="K41" s="90">
        <f>SUMIFS(gm_Val,gm_Pag,I41,gm_Data,"&gt;="&amp;gm_Mes,gm_Data,"&lt;="&amp;gm_Fim)</f>
        <v/>
      </c>
    </row>
    <row r="42">
      <c r="B42" s="81" t="n"/>
      <c r="C42" s="31" t="n"/>
      <c r="D42" s="31" t="n"/>
      <c r="E42" s="31" t="n"/>
      <c r="F42" s="32" t="n"/>
      <c r="G42" s="30">
        <f>IF(B42="","",IF(OR(B42&lt;gm_Mes,B42&gt;gm_Fim),"fora do mês",ROUNDUP(DAY(B42)/7,0)))</f>
        <v/>
      </c>
    </row>
    <row r="43">
      <c r="B43" s="81" t="n"/>
      <c r="C43" s="31" t="n"/>
      <c r="D43" s="31" t="n"/>
      <c r="E43" s="31" t="n"/>
      <c r="F43" s="32" t="n"/>
      <c r="G43" s="30">
        <f>IF(B43="","",IF(OR(B43&lt;gm_Mes,B43&gt;gm_Fim),"fora do mês",ROUNDUP(DAY(B43)/7,0)))</f>
        <v/>
      </c>
    </row>
    <row r="44">
      <c r="B44" s="81" t="n"/>
      <c r="C44" s="31" t="n"/>
      <c r="D44" s="31" t="n"/>
      <c r="E44" s="31" t="n"/>
      <c r="F44" s="32" t="n"/>
      <c r="G44" s="30">
        <f>IF(B44="","",IF(OR(B44&lt;gm_Mes,B44&gt;gm_Fim),"fora do mês",ROUNDUP(DAY(B44)/7,0)))</f>
        <v/>
      </c>
    </row>
    <row r="45">
      <c r="B45" s="81" t="n"/>
      <c r="C45" s="31" t="n"/>
      <c r="D45" s="31" t="n"/>
      <c r="E45" s="31" t="n"/>
      <c r="F45" s="32" t="n"/>
      <c r="G45" s="30">
        <f>IF(B45="","",IF(OR(B45&lt;gm_Mes,B45&gt;gm_Fim),"fora do mês",ROUNDUP(DAY(B45)/7,0)))</f>
        <v/>
      </c>
    </row>
    <row r="46">
      <c r="B46" s="81" t="n"/>
      <c r="C46" s="31" t="n"/>
      <c r="D46" s="31" t="n"/>
      <c r="E46" s="31" t="n"/>
      <c r="F46" s="32" t="n"/>
      <c r="G46" s="30">
        <f>IF(B46="","",IF(OR(B46&lt;gm_Mes,B46&gt;gm_Fim),"fora do mês",ROUNDUP(DAY(B46)/7,0)))</f>
        <v/>
      </c>
    </row>
    <row r="47">
      <c r="B47" s="81" t="n"/>
      <c r="C47" s="31" t="n"/>
      <c r="D47" s="31" t="n"/>
      <c r="E47" s="31" t="n"/>
      <c r="F47" s="32" t="n"/>
      <c r="G47" s="30">
        <f>IF(B47="","",IF(OR(B47&lt;gm_Mes,B47&gt;gm_Fim),"fora do mês",ROUNDUP(DAY(B47)/7,0)))</f>
        <v/>
      </c>
    </row>
    <row r="48">
      <c r="B48" s="81" t="n"/>
      <c r="C48" s="31" t="n"/>
      <c r="D48" s="31" t="n"/>
      <c r="E48" s="31" t="n"/>
      <c r="F48" s="32" t="n"/>
      <c r="G48" s="30">
        <f>IF(B48="","",IF(OR(B48&lt;gm_Mes,B48&gt;gm_Fim),"fora do mês",ROUNDUP(DAY(B48)/7,0)))</f>
        <v/>
      </c>
    </row>
    <row r="49">
      <c r="B49" s="81" t="n"/>
      <c r="C49" s="31" t="n"/>
      <c r="D49" s="31" t="n"/>
      <c r="E49" s="31" t="n"/>
      <c r="F49" s="32" t="n"/>
      <c r="G49" s="30">
        <f>IF(B49="","",IF(OR(B49&lt;gm_Mes,B49&gt;gm_Fim),"fora do mês",ROUNDUP(DAY(B49)/7,0)))</f>
        <v/>
      </c>
    </row>
    <row r="50">
      <c r="B50" s="81" t="n"/>
      <c r="C50" s="31" t="n"/>
      <c r="D50" s="31" t="n"/>
      <c r="E50" s="31" t="n"/>
      <c r="F50" s="32" t="n"/>
      <c r="G50" s="30">
        <f>IF(B50="","",IF(OR(B50&lt;gm_Mes,B50&gt;gm_Fim),"fora do mês",ROUNDUP(DAY(B50)/7,0)))</f>
        <v/>
      </c>
    </row>
    <row r="51">
      <c r="B51" s="81" t="n"/>
      <c r="C51" s="31" t="n"/>
      <c r="D51" s="31" t="n"/>
      <c r="E51" s="31" t="n"/>
      <c r="F51" s="32" t="n"/>
      <c r="G51" s="30">
        <f>IF(B51="","",IF(OR(B51&lt;gm_Mes,B51&gt;gm_Fim),"fora do mês",ROUNDUP(DAY(B51)/7,0)))</f>
        <v/>
      </c>
    </row>
    <row r="52">
      <c r="B52" s="81" t="n"/>
      <c r="C52" s="31" t="n"/>
      <c r="D52" s="31" t="n"/>
      <c r="E52" s="31" t="n"/>
      <c r="F52" s="32" t="n"/>
      <c r="G52" s="30">
        <f>IF(B52="","",IF(OR(B52&lt;gm_Mes,B52&gt;gm_Fim),"fora do mês",ROUNDUP(DAY(B52)/7,0)))</f>
        <v/>
      </c>
    </row>
    <row r="53">
      <c r="B53" s="81" t="n"/>
      <c r="C53" s="31" t="n"/>
      <c r="D53" s="31" t="n"/>
      <c r="E53" s="31" t="n"/>
      <c r="F53" s="32" t="n"/>
      <c r="G53" s="30">
        <f>IF(B53="","",IF(OR(B53&lt;gm_Mes,B53&gt;gm_Fim),"fora do mês",ROUNDUP(DAY(B53)/7,0)))</f>
        <v/>
      </c>
    </row>
    <row r="54">
      <c r="B54" s="81" t="n"/>
      <c r="C54" s="31" t="n"/>
      <c r="D54" s="31" t="n"/>
      <c r="E54" s="31" t="n"/>
      <c r="F54" s="32" t="n"/>
      <c r="G54" s="30">
        <f>IF(B54="","",IF(OR(B54&lt;gm_Mes,B54&gt;gm_Fim),"fora do mês",ROUNDUP(DAY(B54)/7,0)))</f>
        <v/>
      </c>
    </row>
    <row r="55">
      <c r="B55" s="81" t="n"/>
      <c r="C55" s="31" t="n"/>
      <c r="D55" s="31" t="n"/>
      <c r="E55" s="31" t="n"/>
      <c r="F55" s="32" t="n"/>
      <c r="G55" s="30">
        <f>IF(B55="","",IF(OR(B55&lt;gm_Mes,B55&gt;gm_Fim),"fora do mês",ROUNDUP(DAY(B55)/7,0)))</f>
        <v/>
      </c>
    </row>
    <row r="56">
      <c r="B56" s="81" t="n"/>
      <c r="C56" s="31" t="n"/>
      <c r="D56" s="31" t="n"/>
      <c r="E56" s="31" t="n"/>
      <c r="F56" s="32" t="n"/>
      <c r="G56" s="30">
        <f>IF(B56="","",IF(OR(B56&lt;gm_Mes,B56&gt;gm_Fim),"fora do mês",ROUNDUP(DAY(B56)/7,0)))</f>
        <v/>
      </c>
    </row>
    <row r="57">
      <c r="B57" s="81" t="n"/>
      <c r="C57" s="31" t="n"/>
      <c r="D57" s="31" t="n"/>
      <c r="E57" s="31" t="n"/>
      <c r="F57" s="32" t="n"/>
      <c r="G57" s="30">
        <f>IF(B57="","",IF(OR(B57&lt;gm_Mes,B57&gt;gm_Fim),"fora do mês",ROUNDUP(DAY(B57)/7,0)))</f>
        <v/>
      </c>
    </row>
    <row r="58">
      <c r="B58" s="81" t="n"/>
      <c r="C58" s="31" t="n"/>
      <c r="D58" s="31" t="n"/>
      <c r="E58" s="31" t="n"/>
      <c r="F58" s="32" t="n"/>
      <c r="G58" s="30">
        <f>IF(B58="","",IF(OR(B58&lt;gm_Mes,B58&gt;gm_Fim),"fora do mês",ROUNDUP(DAY(B58)/7,0)))</f>
        <v/>
      </c>
    </row>
    <row r="59">
      <c r="B59" s="81" t="n"/>
      <c r="C59" s="31" t="n"/>
      <c r="D59" s="31" t="n"/>
      <c r="E59" s="31" t="n"/>
      <c r="F59" s="32" t="n"/>
      <c r="G59" s="30">
        <f>IF(B59="","",IF(OR(B59&lt;gm_Mes,B59&gt;gm_Fim),"fora do mês",ROUNDUP(DAY(B59)/7,0)))</f>
        <v/>
      </c>
    </row>
    <row r="60">
      <c r="B60" s="81" t="n"/>
      <c r="C60" s="31" t="n"/>
      <c r="D60" s="31" t="n"/>
      <c r="E60" s="31" t="n"/>
      <c r="F60" s="32" t="n"/>
      <c r="G60" s="30">
        <f>IF(B60="","",IF(OR(B60&lt;gm_Mes,B60&gt;gm_Fim),"fora do mês",ROUNDUP(DAY(B60)/7,0)))</f>
        <v/>
      </c>
    </row>
    <row r="61">
      <c r="B61" s="81" t="n"/>
      <c r="C61" s="31" t="n"/>
      <c r="D61" s="31" t="n"/>
      <c r="E61" s="31" t="n"/>
      <c r="F61" s="32" t="n"/>
      <c r="G61" s="30">
        <f>IF(B61="","",IF(OR(B61&lt;gm_Mes,B61&gt;gm_Fim),"fora do mês",ROUNDUP(DAY(B61)/7,0)))</f>
        <v/>
      </c>
    </row>
    <row r="62">
      <c r="B62" s="81" t="n"/>
      <c r="C62" s="31" t="n"/>
      <c r="D62" s="31" t="n"/>
      <c r="E62" s="31" t="n"/>
      <c r="F62" s="32" t="n"/>
      <c r="G62" s="30">
        <f>IF(B62="","",IF(OR(B62&lt;gm_Mes,B62&gt;gm_Fim),"fora do mês",ROUNDUP(DAY(B62)/7,0)))</f>
        <v/>
      </c>
    </row>
    <row r="63">
      <c r="B63" s="81" t="n"/>
      <c r="C63" s="31" t="n"/>
      <c r="D63" s="31" t="n"/>
      <c r="E63" s="31" t="n"/>
      <c r="F63" s="32" t="n"/>
      <c r="G63" s="30">
        <f>IF(B63="","",IF(OR(B63&lt;gm_Mes,B63&gt;gm_Fim),"fora do mês",ROUNDUP(DAY(B63)/7,0)))</f>
        <v/>
      </c>
    </row>
    <row r="64">
      <c r="B64" s="81" t="n"/>
      <c r="C64" s="31" t="n"/>
      <c r="D64" s="31" t="n"/>
      <c r="E64" s="31" t="n"/>
      <c r="F64" s="32" t="n"/>
      <c r="G64" s="30">
        <f>IF(B64="","",IF(OR(B64&lt;gm_Mes,B64&gt;gm_Fim),"fora do mês",ROUNDUP(DAY(B64)/7,0)))</f>
        <v/>
      </c>
    </row>
    <row r="65">
      <c r="B65" s="81" t="n"/>
      <c r="C65" s="31" t="n"/>
      <c r="D65" s="31" t="n"/>
      <c r="E65" s="31" t="n"/>
      <c r="F65" s="32" t="n"/>
      <c r="G65" s="30">
        <f>IF(B65="","",IF(OR(B65&lt;gm_Mes,B65&gt;gm_Fim),"fora do mês",ROUNDUP(DAY(B65)/7,0)))</f>
        <v/>
      </c>
    </row>
    <row r="66">
      <c r="B66" s="81" t="n"/>
      <c r="C66" s="31" t="n"/>
      <c r="D66" s="31" t="n"/>
      <c r="E66" s="31" t="n"/>
      <c r="F66" s="32" t="n"/>
      <c r="G66" s="30">
        <f>IF(B66="","",IF(OR(B66&lt;gm_Mes,B66&gt;gm_Fim),"fora do mês",ROUNDUP(DAY(B66)/7,0)))</f>
        <v/>
      </c>
    </row>
    <row r="67">
      <c r="B67" s="81" t="n"/>
      <c r="C67" s="31" t="n"/>
      <c r="D67" s="31" t="n"/>
      <c r="E67" s="31" t="n"/>
      <c r="F67" s="32" t="n"/>
      <c r="G67" s="30">
        <f>IF(B67="","",IF(OR(B67&lt;gm_Mes,B67&gt;gm_Fim),"fora do mês",ROUNDUP(DAY(B67)/7,0)))</f>
        <v/>
      </c>
    </row>
    <row r="68">
      <c r="B68" s="81" t="n"/>
      <c r="C68" s="31" t="n"/>
      <c r="D68" s="31" t="n"/>
      <c r="E68" s="31" t="n"/>
      <c r="F68" s="32" t="n"/>
      <c r="G68" s="30">
        <f>IF(B68="","",IF(OR(B68&lt;gm_Mes,B68&gt;gm_Fim),"fora do mês",ROUNDUP(DAY(B68)/7,0)))</f>
        <v/>
      </c>
    </row>
    <row r="69">
      <c r="B69" s="81" t="n"/>
      <c r="C69" s="31" t="n"/>
      <c r="D69" s="31" t="n"/>
      <c r="E69" s="31" t="n"/>
      <c r="F69" s="32" t="n"/>
      <c r="G69" s="30">
        <f>IF(B69="","",IF(OR(B69&lt;gm_Mes,B69&gt;gm_Fim),"fora do mês",ROUNDUP(DAY(B69)/7,0)))</f>
        <v/>
      </c>
    </row>
    <row r="70">
      <c r="B70" s="81" t="n"/>
      <c r="C70" s="31" t="n"/>
      <c r="D70" s="31" t="n"/>
      <c r="E70" s="31" t="n"/>
      <c r="F70" s="32" t="n"/>
      <c r="G70" s="30">
        <f>IF(B70="","",IF(OR(B70&lt;gm_Mes,B70&gt;gm_Fim),"fora do mês",ROUNDUP(DAY(B70)/7,0)))</f>
        <v/>
      </c>
    </row>
    <row r="71">
      <c r="B71" s="81" t="n"/>
      <c r="C71" s="31" t="n"/>
      <c r="D71" s="31" t="n"/>
      <c r="E71" s="31" t="n"/>
      <c r="F71" s="32" t="n"/>
      <c r="G71" s="30">
        <f>IF(B71="","",IF(OR(B71&lt;gm_Mes,B71&gt;gm_Fim),"fora do mês",ROUNDUP(DAY(B71)/7,0)))</f>
        <v/>
      </c>
    </row>
    <row r="72">
      <c r="B72" s="81" t="n"/>
      <c r="C72" s="31" t="n"/>
      <c r="D72" s="31" t="n"/>
      <c r="E72" s="31" t="n"/>
      <c r="F72" s="32" t="n"/>
      <c r="G72" s="30">
        <f>IF(B72="","",IF(OR(B72&lt;gm_Mes,B72&gt;gm_Fim),"fora do mês",ROUNDUP(DAY(B72)/7,0)))</f>
        <v/>
      </c>
    </row>
    <row r="73">
      <c r="B73" s="81" t="n"/>
      <c r="C73" s="31" t="n"/>
      <c r="D73" s="31" t="n"/>
      <c r="E73" s="31" t="n"/>
      <c r="F73" s="32" t="n"/>
      <c r="G73" s="30">
        <f>IF(B73="","",IF(OR(B73&lt;gm_Mes,B73&gt;gm_Fim),"fora do mês",ROUNDUP(DAY(B73)/7,0)))</f>
        <v/>
      </c>
    </row>
    <row r="74">
      <c r="B74" s="81" t="n"/>
      <c r="C74" s="31" t="n"/>
      <c r="D74" s="31" t="n"/>
      <c r="E74" s="31" t="n"/>
      <c r="F74" s="32" t="n"/>
      <c r="G74" s="30">
        <f>IF(B74="","",IF(OR(B74&lt;gm_Mes,B74&gt;gm_Fim),"fora do mês",ROUNDUP(DAY(B74)/7,0)))</f>
        <v/>
      </c>
    </row>
    <row r="75">
      <c r="B75" s="81" t="n"/>
      <c r="C75" s="31" t="n"/>
      <c r="D75" s="31" t="n"/>
      <c r="E75" s="31" t="n"/>
      <c r="F75" s="32" t="n"/>
      <c r="G75" s="30">
        <f>IF(B75="","",IF(OR(B75&lt;gm_Mes,B75&gt;gm_Fim),"fora do mês",ROUNDUP(DAY(B75)/7,0)))</f>
        <v/>
      </c>
    </row>
    <row r="76">
      <c r="B76" s="81" t="n"/>
      <c r="C76" s="31" t="n"/>
      <c r="D76" s="31" t="n"/>
      <c r="E76" s="31" t="n"/>
      <c r="F76" s="32" t="n"/>
      <c r="G76" s="30">
        <f>IF(B76="","",IF(OR(B76&lt;gm_Mes,B76&gt;gm_Fim),"fora do mês",ROUNDUP(DAY(B76)/7,0)))</f>
        <v/>
      </c>
    </row>
    <row r="77">
      <c r="B77" s="81" t="n"/>
      <c r="C77" s="31" t="n"/>
      <c r="D77" s="31" t="n"/>
      <c r="E77" s="31" t="n"/>
      <c r="F77" s="32" t="n"/>
      <c r="G77" s="30">
        <f>IF(B77="","",IF(OR(B77&lt;gm_Mes,B77&gt;gm_Fim),"fora do mês",ROUNDUP(DAY(B77)/7,0)))</f>
        <v/>
      </c>
    </row>
    <row r="78">
      <c r="B78" s="81" t="n"/>
      <c r="C78" s="31" t="n"/>
      <c r="D78" s="31" t="n"/>
      <c r="E78" s="31" t="n"/>
      <c r="F78" s="32" t="n"/>
      <c r="G78" s="30">
        <f>IF(B78="","",IF(OR(B78&lt;gm_Mes,B78&gt;gm_Fim),"fora do mês",ROUNDUP(DAY(B78)/7,0)))</f>
        <v/>
      </c>
    </row>
    <row r="79">
      <c r="B79" s="81" t="n"/>
      <c r="C79" s="31" t="n"/>
      <c r="D79" s="31" t="n"/>
      <c r="E79" s="31" t="n"/>
      <c r="F79" s="32" t="n"/>
      <c r="G79" s="30">
        <f>IF(B79="","",IF(OR(B79&lt;gm_Mes,B79&gt;gm_Fim),"fora do mês",ROUNDUP(DAY(B79)/7,0)))</f>
        <v/>
      </c>
    </row>
    <row r="80">
      <c r="B80" s="81" t="n"/>
      <c r="C80" s="31" t="n"/>
      <c r="D80" s="31" t="n"/>
      <c r="E80" s="31" t="n"/>
      <c r="F80" s="32" t="n"/>
      <c r="G80" s="30">
        <f>IF(B80="","",IF(OR(B80&lt;gm_Mes,B80&gt;gm_Fim),"fora do mês",ROUNDUP(DAY(B80)/7,0)))</f>
        <v/>
      </c>
    </row>
    <row r="81">
      <c r="B81" s="81" t="n"/>
      <c r="C81" s="31" t="n"/>
      <c r="D81" s="31" t="n"/>
      <c r="E81" s="31" t="n"/>
      <c r="F81" s="32" t="n"/>
      <c r="G81" s="30">
        <f>IF(B81="","",IF(OR(B81&lt;gm_Mes,B81&gt;gm_Fim),"fora do mês",ROUNDUP(DAY(B81)/7,0)))</f>
        <v/>
      </c>
    </row>
    <row r="82">
      <c r="B82" s="81" t="n"/>
      <c r="C82" s="31" t="n"/>
      <c r="D82" s="31" t="n"/>
      <c r="E82" s="31" t="n"/>
      <c r="F82" s="32" t="n"/>
      <c r="G82" s="30">
        <f>IF(B82="","",IF(OR(B82&lt;gm_Mes,B82&gt;gm_Fim),"fora do mês",ROUNDUP(DAY(B82)/7,0)))</f>
        <v/>
      </c>
    </row>
    <row r="83">
      <c r="B83" s="81" t="n"/>
      <c r="C83" s="31" t="n"/>
      <c r="D83" s="31" t="n"/>
      <c r="E83" s="31" t="n"/>
      <c r="F83" s="32" t="n"/>
      <c r="G83" s="30">
        <f>IF(B83="","",IF(OR(B83&lt;gm_Mes,B83&gt;gm_Fim),"fora do mês",ROUNDUP(DAY(B83)/7,0)))</f>
        <v/>
      </c>
    </row>
    <row r="84">
      <c r="B84" s="81" t="n"/>
      <c r="C84" s="31" t="n"/>
      <c r="D84" s="31" t="n"/>
      <c r="E84" s="31" t="n"/>
      <c r="F84" s="32" t="n"/>
      <c r="G84" s="30">
        <f>IF(B84="","",IF(OR(B84&lt;gm_Mes,B84&gt;gm_Fim),"fora do mês",ROUNDUP(DAY(B84)/7,0)))</f>
        <v/>
      </c>
    </row>
    <row r="85">
      <c r="B85" s="81" t="n"/>
      <c r="C85" s="31" t="n"/>
      <c r="D85" s="31" t="n"/>
      <c r="E85" s="31" t="n"/>
      <c r="F85" s="32" t="n"/>
      <c r="G85" s="30">
        <f>IF(B85="","",IF(OR(B85&lt;gm_Mes,B85&gt;gm_Fim),"fora do mês",ROUNDUP(DAY(B85)/7,0)))</f>
        <v/>
      </c>
    </row>
    <row r="86">
      <c r="B86" s="81" t="n"/>
      <c r="C86" s="31" t="n"/>
      <c r="D86" s="31" t="n"/>
      <c r="E86" s="31" t="n"/>
      <c r="F86" s="32" t="n"/>
      <c r="G86" s="30">
        <f>IF(B86="","",IF(OR(B86&lt;gm_Mes,B86&gt;gm_Fim),"fora do mês",ROUNDUP(DAY(B86)/7,0)))</f>
        <v/>
      </c>
    </row>
    <row r="87">
      <c r="B87" s="81" t="n"/>
      <c r="C87" s="31" t="n"/>
      <c r="D87" s="31" t="n"/>
      <c r="E87" s="31" t="n"/>
      <c r="F87" s="32" t="n"/>
      <c r="G87" s="30">
        <f>IF(B87="","",IF(OR(B87&lt;gm_Mes,B87&gt;gm_Fim),"fora do mês",ROUNDUP(DAY(B87)/7,0)))</f>
        <v/>
      </c>
    </row>
    <row r="88">
      <c r="B88" s="81" t="n"/>
      <c r="C88" s="31" t="n"/>
      <c r="D88" s="31" t="n"/>
      <c r="E88" s="31" t="n"/>
      <c r="F88" s="32" t="n"/>
      <c r="G88" s="30">
        <f>IF(B88="","",IF(OR(B88&lt;gm_Mes,B88&gt;gm_Fim),"fora do mês",ROUNDUP(DAY(B88)/7,0)))</f>
        <v/>
      </c>
    </row>
    <row r="89">
      <c r="B89" s="81" t="n"/>
      <c r="C89" s="31" t="n"/>
      <c r="D89" s="31" t="n"/>
      <c r="E89" s="31" t="n"/>
      <c r="F89" s="32" t="n"/>
      <c r="G89" s="30">
        <f>IF(B89="","",IF(OR(B89&lt;gm_Mes,B89&gt;gm_Fim),"fora do mês",ROUNDUP(DAY(B89)/7,0)))</f>
        <v/>
      </c>
    </row>
    <row r="90">
      <c r="B90" s="81" t="n"/>
      <c r="C90" s="31" t="n"/>
      <c r="D90" s="31" t="n"/>
      <c r="E90" s="31" t="n"/>
      <c r="F90" s="32" t="n"/>
      <c r="G90" s="30">
        <f>IF(B90="","",IF(OR(B90&lt;gm_Mes,B90&gt;gm_Fim),"fora do mês",ROUNDUP(DAY(B90)/7,0)))</f>
        <v/>
      </c>
    </row>
    <row r="91">
      <c r="B91" s="81" t="n"/>
      <c r="C91" s="31" t="n"/>
      <c r="D91" s="31" t="n"/>
      <c r="E91" s="31" t="n"/>
      <c r="F91" s="32" t="n"/>
      <c r="G91" s="30">
        <f>IF(B91="","",IF(OR(B91&lt;gm_Mes,B91&gt;gm_Fim),"fora do mês",ROUNDUP(DAY(B91)/7,0)))</f>
        <v/>
      </c>
    </row>
    <row r="92">
      <c r="B92" s="81" t="n"/>
      <c r="C92" s="31" t="n"/>
      <c r="D92" s="31" t="n"/>
      <c r="E92" s="31" t="n"/>
      <c r="F92" s="32" t="n"/>
      <c r="G92" s="30">
        <f>IF(B92="","",IF(OR(B92&lt;gm_Mes,B92&gt;gm_Fim),"fora do mês",ROUNDUP(DAY(B92)/7,0)))</f>
        <v/>
      </c>
    </row>
    <row r="93">
      <c r="B93" s="81" t="n"/>
      <c r="C93" s="31" t="n"/>
      <c r="D93" s="31" t="n"/>
      <c r="E93" s="31" t="n"/>
      <c r="F93" s="32" t="n"/>
      <c r="G93" s="30">
        <f>IF(B93="","",IF(OR(B93&lt;gm_Mes,B93&gt;gm_Fim),"fora do mês",ROUNDUP(DAY(B93)/7,0)))</f>
        <v/>
      </c>
    </row>
    <row r="94">
      <c r="B94" s="81" t="n"/>
      <c r="C94" s="31" t="n"/>
      <c r="D94" s="31" t="n"/>
      <c r="E94" s="31" t="n"/>
      <c r="F94" s="32" t="n"/>
      <c r="G94" s="30">
        <f>IF(B94="","",IF(OR(B94&lt;gm_Mes,B94&gt;gm_Fim),"fora do mês",ROUNDUP(DAY(B94)/7,0)))</f>
        <v/>
      </c>
    </row>
    <row r="95">
      <c r="B95" s="81" t="n"/>
      <c r="C95" s="31" t="n"/>
      <c r="D95" s="31" t="n"/>
      <c r="E95" s="31" t="n"/>
      <c r="F95" s="32" t="n"/>
      <c r="G95" s="30">
        <f>IF(B95="","",IF(OR(B95&lt;gm_Mes,B95&gt;gm_Fim),"fora do mês",ROUNDUP(DAY(B95)/7,0)))</f>
        <v/>
      </c>
    </row>
    <row r="96">
      <c r="B96" s="81" t="n"/>
      <c r="C96" s="31" t="n"/>
      <c r="D96" s="31" t="n"/>
      <c r="E96" s="31" t="n"/>
      <c r="F96" s="32" t="n"/>
      <c r="G96" s="30">
        <f>IF(B96="","",IF(OR(B96&lt;gm_Mes,B96&gt;gm_Fim),"fora do mês",ROUNDUP(DAY(B96)/7,0)))</f>
        <v/>
      </c>
    </row>
    <row r="97">
      <c r="B97" s="81" t="n"/>
      <c r="C97" s="31" t="n"/>
      <c r="D97" s="31" t="n"/>
      <c r="E97" s="31" t="n"/>
      <c r="F97" s="32" t="n"/>
      <c r="G97" s="30">
        <f>IF(B97="","",IF(OR(B97&lt;gm_Mes,B97&gt;gm_Fim),"fora do mês",ROUNDUP(DAY(B97)/7,0)))</f>
        <v/>
      </c>
    </row>
    <row r="98">
      <c r="B98" s="81" t="n"/>
      <c r="C98" s="31" t="n"/>
      <c r="D98" s="31" t="n"/>
      <c r="E98" s="31" t="n"/>
      <c r="F98" s="32" t="n"/>
      <c r="G98" s="30">
        <f>IF(B98="","",IF(OR(B98&lt;gm_Mes,B98&gt;gm_Fim),"fora do mês",ROUNDUP(DAY(B98)/7,0)))</f>
        <v/>
      </c>
    </row>
    <row r="99">
      <c r="B99" s="81" t="n"/>
      <c r="C99" s="31" t="n"/>
      <c r="D99" s="31" t="n"/>
      <c r="E99" s="31" t="n"/>
      <c r="F99" s="32" t="n"/>
      <c r="G99" s="30">
        <f>IF(B99="","",IF(OR(B99&lt;gm_Mes,B99&gt;gm_Fim),"fora do mês",ROUNDUP(DAY(B99)/7,0)))</f>
        <v/>
      </c>
    </row>
    <row r="100">
      <c r="B100" s="81" t="n"/>
      <c r="C100" s="31" t="n"/>
      <c r="D100" s="31" t="n"/>
      <c r="E100" s="31" t="n"/>
      <c r="F100" s="32" t="n"/>
      <c r="G100" s="30">
        <f>IF(B100="","",IF(OR(B100&lt;gm_Mes,B100&gt;gm_Fim),"fora do mês",ROUNDUP(DAY(B100)/7,0)))</f>
        <v/>
      </c>
    </row>
    <row r="101">
      <c r="B101" s="81" t="n"/>
      <c r="C101" s="31" t="n"/>
      <c r="D101" s="31" t="n"/>
      <c r="E101" s="31" t="n"/>
      <c r="F101" s="32" t="n"/>
      <c r="G101" s="30">
        <f>IF(B101="","",IF(OR(B101&lt;gm_Mes,B101&gt;gm_Fim),"fora do mês",ROUNDUP(DAY(B101)/7,0)))</f>
        <v/>
      </c>
    </row>
    <row r="102">
      <c r="B102" s="81" t="n"/>
      <c r="C102" s="31" t="n"/>
      <c r="D102" s="31" t="n"/>
      <c r="E102" s="31" t="n"/>
      <c r="F102" s="32" t="n"/>
      <c r="G102" s="30">
        <f>IF(B102="","",IF(OR(B102&lt;gm_Mes,B102&gt;gm_Fim),"fora do mês",ROUNDUP(DAY(B102)/7,0)))</f>
        <v/>
      </c>
    </row>
    <row r="103">
      <c r="B103" s="81" t="n"/>
      <c r="C103" s="31" t="n"/>
      <c r="D103" s="31" t="n"/>
      <c r="E103" s="31" t="n"/>
      <c r="F103" s="32" t="n"/>
      <c r="G103" s="30">
        <f>IF(B103="","",IF(OR(B103&lt;gm_Mes,B103&gt;gm_Fim),"fora do mês",ROUNDUP(DAY(B103)/7,0)))</f>
        <v/>
      </c>
    </row>
    <row r="104">
      <c r="B104" s="81" t="n"/>
      <c r="C104" s="31" t="n"/>
      <c r="D104" s="31" t="n"/>
      <c r="E104" s="31" t="n"/>
      <c r="F104" s="32" t="n"/>
      <c r="G104" s="30">
        <f>IF(B104="","",IF(OR(B104&lt;gm_Mes,B104&gt;gm_Fim),"fora do mês",ROUNDUP(DAY(B104)/7,0)))</f>
        <v/>
      </c>
    </row>
    <row r="105">
      <c r="B105" s="81" t="n"/>
      <c r="C105" s="31" t="n"/>
      <c r="D105" s="31" t="n"/>
      <c r="E105" s="31" t="n"/>
      <c r="F105" s="32" t="n"/>
      <c r="G105" s="30">
        <f>IF(B105="","",IF(OR(B105&lt;gm_Mes,B105&gt;gm_Fim),"fora do mês",ROUNDUP(DAY(B105)/7,0)))</f>
        <v/>
      </c>
    </row>
    <row r="106">
      <c r="B106" s="81" t="n"/>
      <c r="C106" s="31" t="n"/>
      <c r="D106" s="31" t="n"/>
      <c r="E106" s="31" t="n"/>
      <c r="F106" s="32" t="n"/>
      <c r="G106" s="30">
        <f>IF(B106="","",IF(OR(B106&lt;gm_Mes,B106&gt;gm_Fim),"fora do mês",ROUNDUP(DAY(B106)/7,0)))</f>
        <v/>
      </c>
    </row>
    <row r="107">
      <c r="B107" s="81" t="n"/>
      <c r="C107" s="31" t="n"/>
      <c r="D107" s="31" t="n"/>
      <c r="E107" s="31" t="n"/>
      <c r="F107" s="32" t="n"/>
      <c r="G107" s="30">
        <f>IF(B107="","",IF(OR(B107&lt;gm_Mes,B107&gt;gm_Fim),"fora do mês",ROUNDUP(DAY(B107)/7,0)))</f>
        <v/>
      </c>
    </row>
    <row r="108">
      <c r="B108" s="81" t="n"/>
      <c r="C108" s="31" t="n"/>
      <c r="D108" s="31" t="n"/>
      <c r="E108" s="31" t="n"/>
      <c r="F108" s="32" t="n"/>
      <c r="G108" s="30">
        <f>IF(B108="","",IF(OR(B108&lt;gm_Mes,B108&gt;gm_Fim),"fora do mês",ROUNDUP(DAY(B108)/7,0)))</f>
        <v/>
      </c>
    </row>
    <row r="109">
      <c r="B109" s="81" t="n"/>
      <c r="C109" s="31" t="n"/>
      <c r="D109" s="31" t="n"/>
      <c r="E109" s="31" t="n"/>
      <c r="F109" s="32" t="n"/>
      <c r="G109" s="30">
        <f>IF(B109="","",IF(OR(B109&lt;gm_Mes,B109&gt;gm_Fim),"fora do mês",ROUNDUP(DAY(B109)/7,0)))</f>
        <v/>
      </c>
    </row>
    <row r="110">
      <c r="B110" s="81" t="n"/>
      <c r="C110" s="31" t="n"/>
      <c r="D110" s="31" t="n"/>
      <c r="E110" s="31" t="n"/>
      <c r="F110" s="32" t="n"/>
      <c r="G110" s="30">
        <f>IF(B110="","",IF(OR(B110&lt;gm_Mes,B110&gt;gm_Fim),"fora do mês",ROUNDUP(DAY(B110)/7,0)))</f>
        <v/>
      </c>
    </row>
    <row r="111">
      <c r="B111" s="81" t="n"/>
      <c r="C111" s="31" t="n"/>
      <c r="D111" s="31" t="n"/>
      <c r="E111" s="31" t="n"/>
      <c r="F111" s="32" t="n"/>
      <c r="G111" s="30">
        <f>IF(B111="","",IF(OR(B111&lt;gm_Mes,B111&gt;gm_Fim),"fora do mês",ROUNDUP(DAY(B111)/7,0)))</f>
        <v/>
      </c>
    </row>
    <row r="112">
      <c r="B112" s="81" t="n"/>
      <c r="C112" s="31" t="n"/>
      <c r="D112" s="31" t="n"/>
      <c r="E112" s="31" t="n"/>
      <c r="F112" s="32" t="n"/>
      <c r="G112" s="30">
        <f>IF(B112="","",IF(OR(B112&lt;gm_Mes,B112&gt;gm_Fim),"fora do mês",ROUNDUP(DAY(B112)/7,0)))</f>
        <v/>
      </c>
    </row>
    <row r="113">
      <c r="B113" s="81" t="n"/>
      <c r="C113" s="31" t="n"/>
      <c r="D113" s="31" t="n"/>
      <c r="E113" s="31" t="n"/>
      <c r="F113" s="32" t="n"/>
      <c r="G113" s="30">
        <f>IF(B113="","",IF(OR(B113&lt;gm_Mes,B113&gt;gm_Fim),"fora do mês",ROUNDUP(DAY(B113)/7,0)))</f>
        <v/>
      </c>
    </row>
    <row r="114">
      <c r="B114" s="81" t="n"/>
      <c r="C114" s="31" t="n"/>
      <c r="D114" s="31" t="n"/>
      <c r="E114" s="31" t="n"/>
      <c r="F114" s="32" t="n"/>
      <c r="G114" s="30">
        <f>IF(B114="","",IF(OR(B114&lt;gm_Mes,B114&gt;gm_Fim),"fora do mês",ROUNDUP(DAY(B114)/7,0)))</f>
        <v/>
      </c>
    </row>
    <row r="115">
      <c r="B115" s="81" t="n"/>
      <c r="C115" s="31" t="n"/>
      <c r="D115" s="31" t="n"/>
      <c r="E115" s="31" t="n"/>
      <c r="F115" s="32" t="n"/>
      <c r="G115" s="30">
        <f>IF(B115="","",IF(OR(B115&lt;gm_Mes,B115&gt;gm_Fim),"fora do mês",ROUNDUP(DAY(B115)/7,0)))</f>
        <v/>
      </c>
    </row>
    <row r="116">
      <c r="B116" s="81" t="n"/>
      <c r="C116" s="31" t="n"/>
      <c r="D116" s="31" t="n"/>
      <c r="E116" s="31" t="n"/>
      <c r="F116" s="32" t="n"/>
      <c r="G116" s="30">
        <f>IF(B116="","",IF(OR(B116&lt;gm_Mes,B116&gt;gm_Fim),"fora do mês",ROUNDUP(DAY(B116)/7,0)))</f>
        <v/>
      </c>
    </row>
    <row r="117">
      <c r="B117" s="81" t="n"/>
      <c r="C117" s="31" t="n"/>
      <c r="D117" s="31" t="n"/>
      <c r="E117" s="31" t="n"/>
      <c r="F117" s="32" t="n"/>
      <c r="G117" s="30">
        <f>IF(B117="","",IF(OR(B117&lt;gm_Mes,B117&gt;gm_Fim),"fora do mês",ROUNDUP(DAY(B117)/7,0)))</f>
        <v/>
      </c>
    </row>
    <row r="118">
      <c r="B118" s="81" t="n"/>
      <c r="C118" s="31" t="n"/>
      <c r="D118" s="31" t="n"/>
      <c r="E118" s="31" t="n"/>
      <c r="F118" s="32" t="n"/>
      <c r="G118" s="30">
        <f>IF(B118="","",IF(OR(B118&lt;gm_Mes,B118&gt;gm_Fim),"fora do mês",ROUNDUP(DAY(B118)/7,0)))</f>
        <v/>
      </c>
    </row>
    <row r="119">
      <c r="B119" s="81" t="n"/>
      <c r="C119" s="31" t="n"/>
      <c r="D119" s="31" t="n"/>
      <c r="E119" s="31" t="n"/>
      <c r="F119" s="32" t="n"/>
      <c r="G119" s="30">
        <f>IF(B119="","",IF(OR(B119&lt;gm_Mes,B119&gt;gm_Fim),"fora do mês",ROUNDUP(DAY(B119)/7,0)))</f>
        <v/>
      </c>
    </row>
    <row r="120">
      <c r="B120" s="81" t="n"/>
      <c r="C120" s="31" t="n"/>
      <c r="D120" s="31" t="n"/>
      <c r="E120" s="31" t="n"/>
      <c r="F120" s="32" t="n"/>
      <c r="G120" s="30">
        <f>IF(B120="","",IF(OR(B120&lt;gm_Mes,B120&gt;gm_Fim),"fora do mês",ROUNDUP(DAY(B120)/7,0)))</f>
        <v/>
      </c>
    </row>
    <row r="121">
      <c r="B121" s="81" t="n"/>
      <c r="C121" s="31" t="n"/>
      <c r="D121" s="31" t="n"/>
      <c r="E121" s="31" t="n"/>
      <c r="F121" s="32" t="n"/>
      <c r="G121" s="30">
        <f>IF(B121="","",IF(OR(B121&lt;gm_Mes,B121&gt;gm_Fim),"fora do mês",ROUNDUP(DAY(B121)/7,0)))</f>
        <v/>
      </c>
    </row>
    <row r="122">
      <c r="B122" s="81" t="n"/>
      <c r="C122" s="31" t="n"/>
      <c r="D122" s="31" t="n"/>
      <c r="E122" s="31" t="n"/>
      <c r="F122" s="32" t="n"/>
      <c r="G122" s="30">
        <f>IF(B122="","",IF(OR(B122&lt;gm_Mes,B122&gt;gm_Fim),"fora do mês",ROUNDUP(DAY(B122)/7,0)))</f>
        <v/>
      </c>
    </row>
    <row r="123">
      <c r="B123" s="81" t="n"/>
      <c r="C123" s="31" t="n"/>
      <c r="D123" s="31" t="n"/>
      <c r="E123" s="31" t="n"/>
      <c r="F123" s="32" t="n"/>
      <c r="G123" s="30">
        <f>IF(B123="","",IF(OR(B123&lt;gm_Mes,B123&gt;gm_Fim),"fora do mês",ROUNDUP(DAY(B123)/7,0)))</f>
        <v/>
      </c>
    </row>
    <row r="124">
      <c r="B124" s="81" t="n"/>
      <c r="C124" s="31" t="n"/>
      <c r="D124" s="31" t="n"/>
      <c r="E124" s="31" t="n"/>
      <c r="F124" s="32" t="n"/>
      <c r="G124" s="30">
        <f>IF(B124="","",IF(OR(B124&lt;gm_Mes,B124&gt;gm_Fim),"fora do mês",ROUNDUP(DAY(B124)/7,0)))</f>
        <v/>
      </c>
    </row>
    <row r="125">
      <c r="B125" s="81" t="n"/>
      <c r="C125" s="31" t="n"/>
      <c r="D125" s="31" t="n"/>
      <c r="E125" s="31" t="n"/>
      <c r="F125" s="32" t="n"/>
      <c r="G125" s="30">
        <f>IF(B125="","",IF(OR(B125&lt;gm_Mes,B125&gt;gm_Fim),"fora do mês",ROUNDUP(DAY(B125)/7,0)))</f>
        <v/>
      </c>
    </row>
    <row r="126">
      <c r="B126" s="81" t="n"/>
      <c r="C126" s="31" t="n"/>
      <c r="D126" s="31" t="n"/>
      <c r="E126" s="31" t="n"/>
      <c r="F126" s="32" t="n"/>
      <c r="G126" s="30">
        <f>IF(B126="","",IF(OR(B126&lt;gm_Mes,B126&gt;gm_Fim),"fora do mês",ROUNDUP(DAY(B126)/7,0)))</f>
        <v/>
      </c>
    </row>
    <row r="127">
      <c r="B127" s="81" t="n"/>
      <c r="C127" s="31" t="n"/>
      <c r="D127" s="31" t="n"/>
      <c r="E127" s="31" t="n"/>
      <c r="F127" s="32" t="n"/>
      <c r="G127" s="30">
        <f>IF(B127="","",IF(OR(B127&lt;gm_Mes,B127&gt;gm_Fim),"fora do mês",ROUNDUP(DAY(B127)/7,0)))</f>
        <v/>
      </c>
    </row>
    <row r="128">
      <c r="B128" s="81" t="n"/>
      <c r="C128" s="31" t="n"/>
      <c r="D128" s="31" t="n"/>
      <c r="E128" s="31" t="n"/>
      <c r="F128" s="32" t="n"/>
      <c r="G128" s="30">
        <f>IF(B128="","",IF(OR(B128&lt;gm_Mes,B128&gt;gm_Fim),"fora do mês",ROUNDUP(DAY(B128)/7,0)))</f>
        <v/>
      </c>
    </row>
    <row r="129">
      <c r="B129" s="81" t="n"/>
      <c r="C129" s="31" t="n"/>
      <c r="D129" s="31" t="n"/>
      <c r="E129" s="31" t="n"/>
      <c r="F129" s="32" t="n"/>
      <c r="G129" s="30">
        <f>IF(B129="","",IF(OR(B129&lt;gm_Mes,B129&gt;gm_Fim),"fora do mês",ROUNDUP(DAY(B129)/7,0)))</f>
        <v/>
      </c>
    </row>
    <row r="130">
      <c r="B130" s="81" t="n"/>
      <c r="C130" s="31" t="n"/>
      <c r="D130" s="31" t="n"/>
      <c r="E130" s="31" t="n"/>
      <c r="F130" s="32" t="n"/>
      <c r="G130" s="30">
        <f>IF(B130="","",IF(OR(B130&lt;gm_Mes,B130&gt;gm_Fim),"fora do mês",ROUNDUP(DAY(B130)/7,0)))</f>
        <v/>
      </c>
    </row>
    <row r="131">
      <c r="B131" s="81" t="n"/>
      <c r="C131" s="31" t="n"/>
      <c r="D131" s="31" t="n"/>
      <c r="E131" s="31" t="n"/>
      <c r="F131" s="32" t="n"/>
      <c r="G131" s="30">
        <f>IF(B131="","",IF(OR(B131&lt;gm_Mes,B131&gt;gm_Fim),"fora do mês",ROUNDUP(DAY(B131)/7,0)))</f>
        <v/>
      </c>
    </row>
    <row r="132">
      <c r="B132" s="81" t="n"/>
      <c r="C132" s="31" t="n"/>
      <c r="D132" s="31" t="n"/>
      <c r="E132" s="31" t="n"/>
      <c r="F132" s="32" t="n"/>
      <c r="G132" s="30">
        <f>IF(B132="","",IF(OR(B132&lt;gm_Mes,B132&gt;gm_Fim),"fora do mês",ROUNDUP(DAY(B132)/7,0)))</f>
        <v/>
      </c>
    </row>
    <row r="133">
      <c r="B133" s="81" t="n"/>
      <c r="C133" s="31" t="n"/>
      <c r="D133" s="31" t="n"/>
      <c r="E133" s="31" t="n"/>
      <c r="F133" s="32" t="n"/>
      <c r="G133" s="30">
        <f>IF(B133="","",IF(OR(B133&lt;gm_Mes,B133&gt;gm_Fim),"fora do mês",ROUNDUP(DAY(B133)/7,0)))</f>
        <v/>
      </c>
    </row>
    <row r="134">
      <c r="B134" s="81" t="n"/>
      <c r="C134" s="31" t="n"/>
      <c r="D134" s="31" t="n"/>
      <c r="E134" s="31" t="n"/>
      <c r="F134" s="32" t="n"/>
      <c r="G134" s="30">
        <f>IF(B134="","",IF(OR(B134&lt;gm_Mes,B134&gt;gm_Fim),"fora do mês",ROUNDUP(DAY(B134)/7,0)))</f>
        <v/>
      </c>
    </row>
    <row r="135">
      <c r="B135" s="81" t="n"/>
      <c r="C135" s="31" t="n"/>
      <c r="D135" s="31" t="n"/>
      <c r="E135" s="31" t="n"/>
      <c r="F135" s="32" t="n"/>
      <c r="G135" s="30">
        <f>IF(B135="","",IF(OR(B135&lt;gm_Mes,B135&gt;gm_Fim),"fora do mês",ROUNDUP(DAY(B135)/7,0)))</f>
        <v/>
      </c>
    </row>
    <row r="136">
      <c r="B136" s="81" t="n"/>
      <c r="C136" s="31" t="n"/>
      <c r="D136" s="31" t="n"/>
      <c r="E136" s="31" t="n"/>
      <c r="F136" s="32" t="n"/>
      <c r="G136" s="30">
        <f>IF(B136="","",IF(OR(B136&lt;gm_Mes,B136&gt;gm_Fim),"fora do mês",ROUNDUP(DAY(B136)/7,0)))</f>
        <v/>
      </c>
    </row>
    <row r="137">
      <c r="B137" s="81" t="n"/>
      <c r="C137" s="31" t="n"/>
      <c r="D137" s="31" t="n"/>
      <c r="E137" s="31" t="n"/>
      <c r="F137" s="32" t="n"/>
      <c r="G137" s="30">
        <f>IF(B137="","",IF(OR(B137&lt;gm_Mes,B137&gt;gm_Fim),"fora do mês",ROUNDUP(DAY(B137)/7,0)))</f>
        <v/>
      </c>
    </row>
    <row r="138">
      <c r="B138" s="81" t="n"/>
      <c r="C138" s="31" t="n"/>
      <c r="D138" s="31" t="n"/>
      <c r="E138" s="31" t="n"/>
      <c r="F138" s="32" t="n"/>
      <c r="G138" s="30">
        <f>IF(B138="","",IF(OR(B138&lt;gm_Mes,B138&gt;gm_Fim),"fora do mês",ROUNDUP(DAY(B138)/7,0)))</f>
        <v/>
      </c>
    </row>
    <row r="139">
      <c r="B139" s="81" t="n"/>
      <c r="C139" s="31" t="n"/>
      <c r="D139" s="31" t="n"/>
      <c r="E139" s="31" t="n"/>
      <c r="F139" s="32" t="n"/>
      <c r="G139" s="30">
        <f>IF(B139="","",IF(OR(B139&lt;gm_Mes,B139&gt;gm_Fim),"fora do mês",ROUNDUP(DAY(B139)/7,0)))</f>
        <v/>
      </c>
    </row>
    <row r="140">
      <c r="B140" s="81" t="n"/>
      <c r="C140" s="31" t="n"/>
      <c r="D140" s="31" t="n"/>
      <c r="E140" s="31" t="n"/>
      <c r="F140" s="32" t="n"/>
      <c r="G140" s="30">
        <f>IF(B140="","",IF(OR(B140&lt;gm_Mes,B140&gt;gm_Fim),"fora do mês",ROUNDUP(DAY(B140)/7,0)))</f>
        <v/>
      </c>
    </row>
    <row r="141">
      <c r="B141" s="81" t="n"/>
      <c r="C141" s="31" t="n"/>
      <c r="D141" s="31" t="n"/>
      <c r="E141" s="31" t="n"/>
      <c r="F141" s="32" t="n"/>
      <c r="G141" s="30">
        <f>IF(B141="","",IF(OR(B141&lt;gm_Mes,B141&gt;gm_Fim),"fora do mês",ROUNDUP(DAY(B141)/7,0)))</f>
        <v/>
      </c>
    </row>
    <row r="142">
      <c r="B142" s="81" t="n"/>
      <c r="C142" s="31" t="n"/>
      <c r="D142" s="31" t="n"/>
      <c r="E142" s="31" t="n"/>
      <c r="F142" s="32" t="n"/>
      <c r="G142" s="30">
        <f>IF(B142="","",IF(OR(B142&lt;gm_Mes,B142&gt;gm_Fim),"fora do mês",ROUNDUP(DAY(B142)/7,0)))</f>
        <v/>
      </c>
    </row>
    <row r="143">
      <c r="B143" s="81" t="n"/>
      <c r="C143" s="31" t="n"/>
      <c r="D143" s="31" t="n"/>
      <c r="E143" s="31" t="n"/>
      <c r="F143" s="32" t="n"/>
      <c r="G143" s="30">
        <f>IF(B143="","",IF(OR(B143&lt;gm_Mes,B143&gt;gm_Fim),"fora do mês",ROUNDUP(DAY(B143)/7,0)))</f>
        <v/>
      </c>
    </row>
    <row r="144">
      <c r="B144" s="81" t="n"/>
      <c r="C144" s="31" t="n"/>
      <c r="D144" s="31" t="n"/>
      <c r="E144" s="31" t="n"/>
      <c r="F144" s="32" t="n"/>
      <c r="G144" s="30">
        <f>IF(B144="","",IF(OR(B144&lt;gm_Mes,B144&gt;gm_Fim),"fora do mês",ROUNDUP(DAY(B144)/7,0)))</f>
        <v/>
      </c>
    </row>
    <row r="145">
      <c r="B145" s="81" t="n"/>
      <c r="C145" s="31" t="n"/>
      <c r="D145" s="31" t="n"/>
      <c r="E145" s="31" t="n"/>
      <c r="F145" s="32" t="n"/>
      <c r="G145" s="30">
        <f>IF(B145="","",IF(OR(B145&lt;gm_Mes,B145&gt;gm_Fim),"fora do mês",ROUNDUP(DAY(B145)/7,0)))</f>
        <v/>
      </c>
    </row>
    <row r="146">
      <c r="B146" s="81" t="n"/>
      <c r="C146" s="31" t="n"/>
      <c r="D146" s="31" t="n"/>
      <c r="E146" s="31" t="n"/>
      <c r="F146" s="32" t="n"/>
      <c r="G146" s="30">
        <f>IF(B146="","",IF(OR(B146&lt;gm_Mes,B146&gt;gm_Fim),"fora do mês",ROUNDUP(DAY(B146)/7,0)))</f>
        <v/>
      </c>
    </row>
    <row r="147">
      <c r="B147" s="81" t="n"/>
      <c r="C147" s="31" t="n"/>
      <c r="D147" s="31" t="n"/>
      <c r="E147" s="31" t="n"/>
      <c r="F147" s="32" t="n"/>
      <c r="G147" s="30">
        <f>IF(B147="","",IF(OR(B147&lt;gm_Mes,B147&gt;gm_Fim),"fora do mês",ROUNDUP(DAY(B147)/7,0)))</f>
        <v/>
      </c>
    </row>
    <row r="148">
      <c r="B148" s="81" t="n"/>
      <c r="C148" s="31" t="n"/>
      <c r="D148" s="31" t="n"/>
      <c r="E148" s="31" t="n"/>
      <c r="F148" s="32" t="n"/>
      <c r="G148" s="30">
        <f>IF(B148="","",IF(OR(B148&lt;gm_Mes,B148&gt;gm_Fim),"fora do mês",ROUNDUP(DAY(B148)/7,0)))</f>
        <v/>
      </c>
    </row>
    <row r="149">
      <c r="B149" s="81" t="n"/>
      <c r="C149" s="31" t="n"/>
      <c r="D149" s="31" t="n"/>
      <c r="E149" s="31" t="n"/>
      <c r="F149" s="32" t="n"/>
      <c r="G149" s="30">
        <f>IF(B149="","",IF(OR(B149&lt;gm_Mes,B149&gt;gm_Fim),"fora do mês",ROUNDUP(DAY(B149)/7,0)))</f>
        <v/>
      </c>
    </row>
    <row r="150">
      <c r="B150" s="81" t="n"/>
      <c r="C150" s="31" t="n"/>
      <c r="D150" s="31" t="n"/>
      <c r="E150" s="31" t="n"/>
      <c r="F150" s="32" t="n"/>
      <c r="G150" s="30">
        <f>IF(B150="","",IF(OR(B150&lt;gm_Mes,B150&gt;gm_Fim),"fora do mês",ROUNDUP(DAY(B150)/7,0)))</f>
        <v/>
      </c>
    </row>
    <row r="151">
      <c r="B151" s="81" t="n"/>
      <c r="C151" s="31" t="n"/>
      <c r="D151" s="31" t="n"/>
      <c r="E151" s="31" t="n"/>
      <c r="F151" s="32" t="n"/>
      <c r="G151" s="30">
        <f>IF(B151="","",IF(OR(B151&lt;gm_Mes,B151&gt;gm_Fim),"fora do mês",ROUNDUP(DAY(B151)/7,0)))</f>
        <v/>
      </c>
    </row>
    <row r="152">
      <c r="B152" s="81" t="n"/>
      <c r="C152" s="31" t="n"/>
      <c r="D152" s="31" t="n"/>
      <c r="E152" s="31" t="n"/>
      <c r="F152" s="32" t="n"/>
      <c r="G152" s="30">
        <f>IF(B152="","",IF(OR(B152&lt;gm_Mes,B152&gt;gm_Fim),"fora do mês",ROUNDUP(DAY(B152)/7,0)))</f>
        <v/>
      </c>
    </row>
    <row r="153">
      <c r="B153" s="81" t="n"/>
      <c r="C153" s="31" t="n"/>
      <c r="D153" s="31" t="n"/>
      <c r="E153" s="31" t="n"/>
      <c r="F153" s="32" t="n"/>
      <c r="G153" s="30">
        <f>IF(B153="","",IF(OR(B153&lt;gm_Mes,B153&gt;gm_Fim),"fora do mês",ROUNDUP(DAY(B153)/7,0)))</f>
        <v/>
      </c>
    </row>
    <row r="154">
      <c r="B154" s="81" t="n"/>
      <c r="C154" s="31" t="n"/>
      <c r="D154" s="31" t="n"/>
      <c r="E154" s="31" t="n"/>
      <c r="F154" s="32" t="n"/>
      <c r="G154" s="30">
        <f>IF(B154="","",IF(OR(B154&lt;gm_Mes,B154&gt;gm_Fim),"fora do mês",ROUNDUP(DAY(B154)/7,0)))</f>
        <v/>
      </c>
    </row>
    <row r="155">
      <c r="B155" s="81" t="n"/>
      <c r="C155" s="31" t="n"/>
      <c r="D155" s="31" t="n"/>
      <c r="E155" s="31" t="n"/>
      <c r="F155" s="32" t="n"/>
      <c r="G155" s="30">
        <f>IF(B155="","",IF(OR(B155&lt;gm_Mes,B155&gt;gm_Fim),"fora do mês",ROUNDUP(DAY(B155)/7,0)))</f>
        <v/>
      </c>
    </row>
    <row r="156">
      <c r="B156" s="81" t="n"/>
      <c r="C156" s="31" t="n"/>
      <c r="D156" s="31" t="n"/>
      <c r="E156" s="31" t="n"/>
      <c r="F156" s="32" t="n"/>
      <c r="G156" s="30">
        <f>IF(B156="","",IF(OR(B156&lt;gm_Mes,B156&gt;gm_Fim),"fora do mês",ROUNDUP(DAY(B156)/7,0)))</f>
        <v/>
      </c>
    </row>
    <row r="157">
      <c r="B157" s="81" t="n"/>
      <c r="C157" s="31" t="n"/>
      <c r="D157" s="31" t="n"/>
      <c r="E157" s="31" t="n"/>
      <c r="F157" s="32" t="n"/>
      <c r="G157" s="30">
        <f>IF(B157="","",IF(OR(B157&lt;gm_Mes,B157&gt;gm_Fim),"fora do mês",ROUNDUP(DAY(B157)/7,0)))</f>
        <v/>
      </c>
    </row>
    <row r="158">
      <c r="B158" s="81" t="n"/>
      <c r="C158" s="31" t="n"/>
      <c r="D158" s="31" t="n"/>
      <c r="E158" s="31" t="n"/>
      <c r="F158" s="32" t="n"/>
      <c r="G158" s="30">
        <f>IF(B158="","",IF(OR(B158&lt;gm_Mes,B158&gt;gm_Fim),"fora do mês",ROUNDUP(DAY(B158)/7,0)))</f>
        <v/>
      </c>
    </row>
    <row r="159">
      <c r="B159" s="81" t="n"/>
      <c r="C159" s="31" t="n"/>
      <c r="D159" s="31" t="n"/>
      <c r="E159" s="31" t="n"/>
      <c r="F159" s="32" t="n"/>
      <c r="G159" s="30">
        <f>IF(B159="","",IF(OR(B159&lt;gm_Mes,B159&gt;gm_Fim),"fora do mês",ROUNDUP(DAY(B159)/7,0)))</f>
        <v/>
      </c>
    </row>
    <row r="160">
      <c r="B160" s="81" t="n"/>
      <c r="C160" s="31" t="n"/>
      <c r="D160" s="31" t="n"/>
      <c r="E160" s="31" t="n"/>
      <c r="F160" s="32" t="n"/>
      <c r="G160" s="30">
        <f>IF(B160="","",IF(OR(B160&lt;gm_Mes,B160&gt;gm_Fim),"fora do mês",ROUNDUP(DAY(B160)/7,0)))</f>
        <v/>
      </c>
    </row>
    <row r="161">
      <c r="B161" s="81" t="n"/>
      <c r="C161" s="31" t="n"/>
      <c r="D161" s="31" t="n"/>
      <c r="E161" s="31" t="n"/>
      <c r="F161" s="32" t="n"/>
      <c r="G161" s="30">
        <f>IF(B161="","",IF(OR(B161&lt;gm_Mes,B161&gt;gm_Fim),"fora do mês",ROUNDUP(DAY(B161)/7,0)))</f>
        <v/>
      </c>
    </row>
    <row r="162">
      <c r="B162" s="81" t="n"/>
      <c r="C162" s="31" t="n"/>
      <c r="D162" s="31" t="n"/>
      <c r="E162" s="31" t="n"/>
      <c r="F162" s="32" t="n"/>
      <c r="G162" s="30">
        <f>IF(B162="","",IF(OR(B162&lt;gm_Mes,B162&gt;gm_Fim),"fora do mês",ROUNDUP(DAY(B162)/7,0)))</f>
        <v/>
      </c>
    </row>
    <row r="163">
      <c r="B163" s="81" t="n"/>
      <c r="C163" s="31" t="n"/>
      <c r="D163" s="31" t="n"/>
      <c r="E163" s="31" t="n"/>
      <c r="F163" s="32" t="n"/>
      <c r="G163" s="30">
        <f>IF(B163="","",IF(OR(B163&lt;gm_Mes,B163&gt;gm_Fim),"fora do mês",ROUNDUP(DAY(B163)/7,0)))</f>
        <v/>
      </c>
    </row>
    <row r="164">
      <c r="B164" s="81" t="n"/>
      <c r="C164" s="31" t="n"/>
      <c r="D164" s="31" t="n"/>
      <c r="E164" s="31" t="n"/>
      <c r="F164" s="32" t="n"/>
      <c r="G164" s="30">
        <f>IF(B164="","",IF(OR(B164&lt;gm_Mes,B164&gt;gm_Fim),"fora do mês",ROUNDUP(DAY(B164)/7,0)))</f>
        <v/>
      </c>
    </row>
    <row r="165">
      <c r="B165" s="81" t="n"/>
      <c r="C165" s="31" t="n"/>
      <c r="D165" s="31" t="n"/>
      <c r="E165" s="31" t="n"/>
      <c r="F165" s="32" t="n"/>
      <c r="G165" s="30">
        <f>IF(B165="","",IF(OR(B165&lt;gm_Mes,B165&gt;gm_Fim),"fora do mês",ROUNDUP(DAY(B165)/7,0)))</f>
        <v/>
      </c>
    </row>
    <row r="166">
      <c r="B166" s="81" t="n"/>
      <c r="C166" s="31" t="n"/>
      <c r="D166" s="31" t="n"/>
      <c r="E166" s="31" t="n"/>
      <c r="F166" s="32" t="n"/>
      <c r="G166" s="30">
        <f>IF(B166="","",IF(OR(B166&lt;gm_Mes,B166&gt;gm_Fim),"fora do mês",ROUNDUP(DAY(B166)/7,0)))</f>
        <v/>
      </c>
    </row>
    <row r="167">
      <c r="B167" s="81" t="n"/>
      <c r="C167" s="31" t="n"/>
      <c r="D167" s="31" t="n"/>
      <c r="E167" s="31" t="n"/>
      <c r="F167" s="32" t="n"/>
      <c r="G167" s="30">
        <f>IF(B167="","",IF(OR(B167&lt;gm_Mes,B167&gt;gm_Fim),"fora do mês",ROUNDUP(DAY(B167)/7,0)))</f>
        <v/>
      </c>
    </row>
    <row r="168">
      <c r="B168" s="81" t="n"/>
      <c r="C168" s="31" t="n"/>
      <c r="D168" s="31" t="n"/>
      <c r="E168" s="31" t="n"/>
      <c r="F168" s="32" t="n"/>
      <c r="G168" s="30">
        <f>IF(B168="","",IF(OR(B168&lt;gm_Mes,B168&gt;gm_Fim),"fora do mês",ROUNDUP(DAY(B168)/7,0)))</f>
        <v/>
      </c>
    </row>
    <row r="169">
      <c r="B169" s="81" t="n"/>
      <c r="C169" s="31" t="n"/>
      <c r="D169" s="31" t="n"/>
      <c r="E169" s="31" t="n"/>
      <c r="F169" s="32" t="n"/>
      <c r="G169" s="30">
        <f>IF(B169="","",IF(OR(B169&lt;gm_Mes,B169&gt;gm_Fim),"fora do mês",ROUNDUP(DAY(B169)/7,0)))</f>
        <v/>
      </c>
    </row>
    <row r="170">
      <c r="B170" s="81" t="n"/>
      <c r="C170" s="31" t="n"/>
      <c r="D170" s="31" t="n"/>
      <c r="E170" s="31" t="n"/>
      <c r="F170" s="32" t="n"/>
      <c r="G170" s="30">
        <f>IF(B170="","",IF(OR(B170&lt;gm_Mes,B170&gt;gm_Fim),"fora do mês",ROUNDUP(DAY(B170)/7,0)))</f>
        <v/>
      </c>
    </row>
    <row r="171">
      <c r="B171" s="81" t="n"/>
      <c r="C171" s="31" t="n"/>
      <c r="D171" s="31" t="n"/>
      <c r="E171" s="31" t="n"/>
      <c r="F171" s="32" t="n"/>
      <c r="G171" s="30">
        <f>IF(B171="","",IF(OR(B171&lt;gm_Mes,B171&gt;gm_Fim),"fora do mês",ROUNDUP(DAY(B171)/7,0)))</f>
        <v/>
      </c>
    </row>
    <row r="172">
      <c r="B172" s="81" t="n"/>
      <c r="C172" s="31" t="n"/>
      <c r="D172" s="31" t="n"/>
      <c r="E172" s="31" t="n"/>
      <c r="F172" s="32" t="n"/>
      <c r="G172" s="30">
        <f>IF(B172="","",IF(OR(B172&lt;gm_Mes,B172&gt;gm_Fim),"fora do mês",ROUNDUP(DAY(B172)/7,0)))</f>
        <v/>
      </c>
    </row>
    <row r="173">
      <c r="B173" s="81" t="n"/>
      <c r="C173" s="31" t="n"/>
      <c r="D173" s="31" t="n"/>
      <c r="E173" s="31" t="n"/>
      <c r="F173" s="32" t="n"/>
      <c r="G173" s="30">
        <f>IF(B173="","",IF(OR(B173&lt;gm_Mes,B173&gt;gm_Fim),"fora do mês",ROUNDUP(DAY(B173)/7,0)))</f>
        <v/>
      </c>
    </row>
    <row r="174">
      <c r="B174" s="81" t="n"/>
      <c r="C174" s="31" t="n"/>
      <c r="D174" s="31" t="n"/>
      <c r="E174" s="31" t="n"/>
      <c r="F174" s="32" t="n"/>
      <c r="G174" s="30">
        <f>IF(B174="","",IF(OR(B174&lt;gm_Mes,B174&gt;gm_Fim),"fora do mês",ROUNDUP(DAY(B174)/7,0)))</f>
        <v/>
      </c>
    </row>
    <row r="175">
      <c r="B175" s="81" t="n"/>
      <c r="C175" s="31" t="n"/>
      <c r="D175" s="31" t="n"/>
      <c r="E175" s="31" t="n"/>
      <c r="F175" s="32" t="n"/>
      <c r="G175" s="30">
        <f>IF(B175="","",IF(OR(B175&lt;gm_Mes,B175&gt;gm_Fim),"fora do mês",ROUNDUP(DAY(B175)/7,0)))</f>
        <v/>
      </c>
    </row>
    <row r="176">
      <c r="B176" s="81" t="n"/>
      <c r="C176" s="31" t="n"/>
      <c r="D176" s="31" t="n"/>
      <c r="E176" s="31" t="n"/>
      <c r="F176" s="32" t="n"/>
      <c r="G176" s="30">
        <f>IF(B176="","",IF(OR(B176&lt;gm_Mes,B176&gt;gm_Fim),"fora do mês",ROUNDUP(DAY(B176)/7,0)))</f>
        <v/>
      </c>
    </row>
    <row r="177">
      <c r="B177" s="81" t="n"/>
      <c r="C177" s="31" t="n"/>
      <c r="D177" s="31" t="n"/>
      <c r="E177" s="31" t="n"/>
      <c r="F177" s="32" t="n"/>
      <c r="G177" s="30">
        <f>IF(B177="","",IF(OR(B177&lt;gm_Mes,B177&gt;gm_Fim),"fora do mês",ROUNDUP(DAY(B177)/7,0)))</f>
        <v/>
      </c>
    </row>
    <row r="178">
      <c r="B178" s="81" t="n"/>
      <c r="C178" s="31" t="n"/>
      <c r="D178" s="31" t="n"/>
      <c r="E178" s="31" t="n"/>
      <c r="F178" s="32" t="n"/>
      <c r="G178" s="30">
        <f>IF(B178="","",IF(OR(B178&lt;gm_Mes,B178&gt;gm_Fim),"fora do mês",ROUNDUP(DAY(B178)/7,0)))</f>
        <v/>
      </c>
    </row>
    <row r="179">
      <c r="B179" s="81" t="n"/>
      <c r="C179" s="31" t="n"/>
      <c r="D179" s="31" t="n"/>
      <c r="E179" s="31" t="n"/>
      <c r="F179" s="32" t="n"/>
      <c r="G179" s="30">
        <f>IF(B179="","",IF(OR(B179&lt;gm_Mes,B179&gt;gm_Fim),"fora do mês",ROUNDUP(DAY(B179)/7,0)))</f>
        <v/>
      </c>
    </row>
    <row r="180">
      <c r="B180" s="81" t="n"/>
      <c r="C180" s="31" t="n"/>
      <c r="D180" s="31" t="n"/>
      <c r="E180" s="31" t="n"/>
      <c r="F180" s="32" t="n"/>
      <c r="G180" s="30">
        <f>IF(B180="","",IF(OR(B180&lt;gm_Mes,B180&gt;gm_Fim),"fora do mês",ROUNDUP(DAY(B180)/7,0)))</f>
        <v/>
      </c>
    </row>
    <row r="181">
      <c r="B181" s="81" t="n"/>
      <c r="C181" s="31" t="n"/>
      <c r="D181" s="31" t="n"/>
      <c r="E181" s="31" t="n"/>
      <c r="F181" s="32" t="n"/>
      <c r="G181" s="30">
        <f>IF(B181="","",IF(OR(B181&lt;gm_Mes,B181&gt;gm_Fim),"fora do mês",ROUNDUP(DAY(B181)/7,0)))</f>
        <v/>
      </c>
    </row>
    <row r="182">
      <c r="B182" s="81" t="n"/>
      <c r="C182" s="31" t="n"/>
      <c r="D182" s="31" t="n"/>
      <c r="E182" s="31" t="n"/>
      <c r="F182" s="32" t="n"/>
      <c r="G182" s="30">
        <f>IF(B182="","",IF(OR(B182&lt;gm_Mes,B182&gt;gm_Fim),"fora do mês",ROUNDUP(DAY(B182)/7,0)))</f>
        <v/>
      </c>
    </row>
    <row r="183">
      <c r="B183" s="81" t="n"/>
      <c r="C183" s="31" t="n"/>
      <c r="D183" s="31" t="n"/>
      <c r="E183" s="31" t="n"/>
      <c r="F183" s="32" t="n"/>
      <c r="G183" s="30">
        <f>IF(B183="","",IF(OR(B183&lt;gm_Mes,B183&gt;gm_Fim),"fora do mês",ROUNDUP(DAY(B183)/7,0)))</f>
        <v/>
      </c>
    </row>
    <row r="184">
      <c r="B184" s="81" t="n"/>
      <c r="C184" s="31" t="n"/>
      <c r="D184" s="31" t="n"/>
      <c r="E184" s="31" t="n"/>
      <c r="F184" s="32" t="n"/>
      <c r="G184" s="30">
        <f>IF(B184="","",IF(OR(B184&lt;gm_Mes,B184&gt;gm_Fim),"fora do mês",ROUNDUP(DAY(B184)/7,0)))</f>
        <v/>
      </c>
    </row>
    <row r="185">
      <c r="B185" s="81" t="n"/>
      <c r="C185" s="31" t="n"/>
      <c r="D185" s="31" t="n"/>
      <c r="E185" s="31" t="n"/>
      <c r="F185" s="32" t="n"/>
      <c r="G185" s="30">
        <f>IF(B185="","",IF(OR(B185&lt;gm_Mes,B185&gt;gm_Fim),"fora do mês",ROUNDUP(DAY(B185)/7,0)))</f>
        <v/>
      </c>
    </row>
    <row r="186">
      <c r="B186" s="81" t="n"/>
      <c r="C186" s="31" t="n"/>
      <c r="D186" s="31" t="n"/>
      <c r="E186" s="31" t="n"/>
      <c r="F186" s="32" t="n"/>
      <c r="G186" s="30">
        <f>IF(B186="","",IF(OR(B186&lt;gm_Mes,B186&gt;gm_Fim),"fora do mês",ROUNDUP(DAY(B186)/7,0)))</f>
        <v/>
      </c>
    </row>
    <row r="187">
      <c r="B187" s="81" t="n"/>
      <c r="C187" s="31" t="n"/>
      <c r="D187" s="31" t="n"/>
      <c r="E187" s="31" t="n"/>
      <c r="F187" s="32" t="n"/>
      <c r="G187" s="30">
        <f>IF(B187="","",IF(OR(B187&lt;gm_Mes,B187&gt;gm_Fim),"fora do mês",ROUNDUP(DAY(B187)/7,0)))</f>
        <v/>
      </c>
    </row>
    <row r="188">
      <c r="B188" s="81" t="n"/>
      <c r="C188" s="31" t="n"/>
      <c r="D188" s="31" t="n"/>
      <c r="E188" s="31" t="n"/>
      <c r="F188" s="32" t="n"/>
      <c r="G188" s="30">
        <f>IF(B188="","",IF(OR(B188&lt;gm_Mes,B188&gt;gm_Fim),"fora do mês",ROUNDUP(DAY(B188)/7,0)))</f>
        <v/>
      </c>
    </row>
    <row r="189">
      <c r="B189" s="81" t="n"/>
      <c r="C189" s="31" t="n"/>
      <c r="D189" s="31" t="n"/>
      <c r="E189" s="31" t="n"/>
      <c r="F189" s="32" t="n"/>
      <c r="G189" s="30">
        <f>IF(B189="","",IF(OR(B189&lt;gm_Mes,B189&gt;gm_Fim),"fora do mês",ROUNDUP(DAY(B189)/7,0)))</f>
        <v/>
      </c>
    </row>
    <row r="190">
      <c r="B190" s="81" t="n"/>
      <c r="C190" s="31" t="n"/>
      <c r="D190" s="31" t="n"/>
      <c r="E190" s="31" t="n"/>
      <c r="F190" s="32" t="n"/>
      <c r="G190" s="30">
        <f>IF(B190="","",IF(OR(B190&lt;gm_Mes,B190&gt;gm_Fim),"fora do mês",ROUNDUP(DAY(B190)/7,0)))</f>
        <v/>
      </c>
    </row>
    <row r="191">
      <c r="B191" s="81" t="n"/>
      <c r="C191" s="31" t="n"/>
      <c r="D191" s="31" t="n"/>
      <c r="E191" s="31" t="n"/>
      <c r="F191" s="32" t="n"/>
      <c r="G191" s="30">
        <f>IF(B191="","",IF(OR(B191&lt;gm_Mes,B191&gt;gm_Fim),"fora do mês",ROUNDUP(DAY(B191)/7,0)))</f>
        <v/>
      </c>
    </row>
    <row r="192">
      <c r="B192" s="81" t="n"/>
      <c r="C192" s="31" t="n"/>
      <c r="D192" s="31" t="n"/>
      <c r="E192" s="31" t="n"/>
      <c r="F192" s="32" t="n"/>
      <c r="G192" s="30">
        <f>IF(B192="","",IF(OR(B192&lt;gm_Mes,B192&gt;gm_Fim),"fora do mês",ROUNDUP(DAY(B192)/7,0)))</f>
        <v/>
      </c>
    </row>
    <row r="193">
      <c r="B193" s="81" t="n"/>
      <c r="C193" s="31" t="n"/>
      <c r="D193" s="31" t="n"/>
      <c r="E193" s="31" t="n"/>
      <c r="F193" s="32" t="n"/>
      <c r="G193" s="30">
        <f>IF(B193="","",IF(OR(B193&lt;gm_Mes,B193&gt;gm_Fim),"fora do mês",ROUNDUP(DAY(B193)/7,0)))</f>
        <v/>
      </c>
    </row>
    <row r="194">
      <c r="B194" s="81" t="n"/>
      <c r="C194" s="31" t="n"/>
      <c r="D194" s="31" t="n"/>
      <c r="E194" s="31" t="n"/>
      <c r="F194" s="32" t="n"/>
      <c r="G194" s="30">
        <f>IF(B194="","",IF(OR(B194&lt;gm_Mes,B194&gt;gm_Fim),"fora do mês",ROUNDUP(DAY(B194)/7,0)))</f>
        <v/>
      </c>
    </row>
    <row r="195">
      <c r="B195" s="81" t="n"/>
      <c r="C195" s="31" t="n"/>
      <c r="D195" s="31" t="n"/>
      <c r="E195" s="31" t="n"/>
      <c r="F195" s="32" t="n"/>
      <c r="G195" s="30">
        <f>IF(B195="","",IF(OR(B195&lt;gm_Mes,B195&gt;gm_Fim),"fora do mês",ROUNDUP(DAY(B195)/7,0)))</f>
        <v/>
      </c>
    </row>
    <row r="196">
      <c r="B196" s="81" t="n"/>
      <c r="C196" s="31" t="n"/>
      <c r="D196" s="31" t="n"/>
      <c r="E196" s="31" t="n"/>
      <c r="F196" s="32" t="n"/>
      <c r="G196" s="30">
        <f>IF(B196="","",IF(OR(B196&lt;gm_Mes,B196&gt;gm_Fim),"fora do mês",ROUNDUP(DAY(B196)/7,0)))</f>
        <v/>
      </c>
    </row>
    <row r="197">
      <c r="B197" s="81" t="n"/>
      <c r="C197" s="31" t="n"/>
      <c r="D197" s="31" t="n"/>
      <c r="E197" s="31" t="n"/>
      <c r="F197" s="32" t="n"/>
      <c r="G197" s="30">
        <f>IF(B197="","",IF(OR(B197&lt;gm_Mes,B197&gt;gm_Fim),"fora do mês",ROUNDUP(DAY(B197)/7,0)))</f>
        <v/>
      </c>
    </row>
    <row r="198">
      <c r="B198" s="81" t="n"/>
      <c r="C198" s="31" t="n"/>
      <c r="D198" s="31" t="n"/>
      <c r="E198" s="31" t="n"/>
      <c r="F198" s="32" t="n"/>
      <c r="G198" s="30">
        <f>IF(B198="","",IF(OR(B198&lt;gm_Mes,B198&gt;gm_Fim),"fora do mês",ROUNDUP(DAY(B198)/7,0)))</f>
        <v/>
      </c>
    </row>
    <row r="199">
      <c r="B199" s="81" t="n"/>
      <c r="C199" s="31" t="n"/>
      <c r="D199" s="31" t="n"/>
      <c r="E199" s="31" t="n"/>
      <c r="F199" s="32" t="n"/>
      <c r="G199" s="30">
        <f>IF(B199="","",IF(OR(B199&lt;gm_Mes,B199&gt;gm_Fim),"fora do mês",ROUNDUP(DAY(B199)/7,0)))</f>
        <v/>
      </c>
    </row>
    <row r="200">
      <c r="B200" s="81" t="n"/>
      <c r="C200" s="31" t="n"/>
      <c r="D200" s="31" t="n"/>
      <c r="E200" s="31" t="n"/>
      <c r="F200" s="32" t="n"/>
      <c r="G200" s="30">
        <f>IF(B200="","",IF(OR(B200&lt;gm_Mes,B200&gt;gm_Fim),"fora do mês",ROUNDUP(DAY(B200)/7,0)))</f>
        <v/>
      </c>
    </row>
    <row r="201">
      <c r="B201" s="81" t="n"/>
      <c r="C201" s="31" t="n"/>
      <c r="D201" s="31" t="n"/>
      <c r="E201" s="31" t="n"/>
      <c r="F201" s="32" t="n"/>
      <c r="G201" s="30">
        <f>IF(B201="","",IF(OR(B201&lt;gm_Mes,B201&gt;gm_Fim),"fora do mês",ROUNDUP(DAY(B201)/7,0)))</f>
        <v/>
      </c>
    </row>
    <row r="202">
      <c r="B202" s="81" t="n"/>
      <c r="C202" s="31" t="n"/>
      <c r="D202" s="31" t="n"/>
      <c r="E202" s="31" t="n"/>
      <c r="F202" s="32" t="n"/>
      <c r="G202" s="30">
        <f>IF(B202="","",IF(OR(B202&lt;gm_Mes,B202&gt;gm_Fim),"fora do mês",ROUNDUP(DAY(B202)/7,0)))</f>
        <v/>
      </c>
    </row>
    <row r="203">
      <c r="B203" s="81" t="n"/>
      <c r="C203" s="31" t="n"/>
      <c r="D203" s="31" t="n"/>
      <c r="E203" s="31" t="n"/>
      <c r="F203" s="32" t="n"/>
      <c r="G203" s="30">
        <f>IF(B203="","",IF(OR(B203&lt;gm_Mes,B203&gt;gm_Fim),"fora do mês",ROUNDUP(DAY(B203)/7,0)))</f>
        <v/>
      </c>
    </row>
    <row r="204">
      <c r="B204" s="81" t="n"/>
      <c r="C204" s="31" t="n"/>
      <c r="D204" s="31" t="n"/>
      <c r="E204" s="31" t="n"/>
      <c r="F204" s="32" t="n"/>
      <c r="G204" s="30">
        <f>IF(B204="","",IF(OR(B204&lt;gm_Mes,B204&gt;gm_Fim),"fora do mês",ROUNDUP(DAY(B204)/7,0)))</f>
        <v/>
      </c>
    </row>
    <row r="205">
      <c r="B205" s="81" t="n"/>
      <c r="C205" s="31" t="n"/>
      <c r="D205" s="31" t="n"/>
      <c r="E205" s="31" t="n"/>
      <c r="F205" s="32" t="n"/>
      <c r="G205" s="30">
        <f>IF(B205="","",IF(OR(B205&lt;gm_Mes,B205&gt;gm_Fim),"fora do mês",ROUNDUP(DAY(B205)/7,0)))</f>
        <v/>
      </c>
    </row>
    <row r="206">
      <c r="B206" s="81" t="n"/>
      <c r="C206" s="31" t="n"/>
      <c r="D206" s="31" t="n"/>
      <c r="E206" s="31" t="n"/>
      <c r="F206" s="32" t="n"/>
      <c r="G206" s="30">
        <f>IF(B206="","",IF(OR(B206&lt;gm_Mes,B206&gt;gm_Fim),"fora do mês",ROUNDUP(DAY(B206)/7,0)))</f>
        <v/>
      </c>
    </row>
    <row r="207">
      <c r="B207" s="81" t="n"/>
      <c r="C207" s="31" t="n"/>
      <c r="D207" s="31" t="n"/>
      <c r="E207" s="31" t="n"/>
      <c r="F207" s="32" t="n"/>
      <c r="G207" s="30">
        <f>IF(B207="","",IF(OR(B207&lt;gm_Mes,B207&gt;gm_Fim),"fora do mês",ROUNDUP(DAY(B207)/7,0)))</f>
        <v/>
      </c>
    </row>
    <row r="208">
      <c r="B208" s="81" t="n"/>
      <c r="C208" s="31" t="n"/>
      <c r="D208" s="31" t="n"/>
      <c r="E208" s="31" t="n"/>
      <c r="F208" s="32" t="n"/>
      <c r="G208" s="30">
        <f>IF(B208="","",IF(OR(B208&lt;gm_Mes,B208&gt;gm_Fim),"fora do mês",ROUNDUP(DAY(B208)/7,0)))</f>
        <v/>
      </c>
    </row>
    <row r="209">
      <c r="B209" s="81" t="n"/>
      <c r="C209" s="31" t="n"/>
      <c r="D209" s="31" t="n"/>
      <c r="E209" s="31" t="n"/>
      <c r="F209" s="32" t="n"/>
      <c r="G209" s="30">
        <f>IF(B209="","",IF(OR(B209&lt;gm_Mes,B209&gt;gm_Fim),"fora do mês",ROUNDUP(DAY(B209)/7,0)))</f>
        <v/>
      </c>
    </row>
    <row r="210">
      <c r="B210" s="81" t="n"/>
      <c r="C210" s="31" t="n"/>
      <c r="D210" s="31" t="n"/>
      <c r="E210" s="31" t="n"/>
      <c r="F210" s="32" t="n"/>
      <c r="G210" s="30">
        <f>IF(B210="","",IF(OR(B210&lt;gm_Mes,B210&gt;gm_Fim),"fora do mês",ROUNDUP(DAY(B210)/7,0)))</f>
        <v/>
      </c>
    </row>
    <row r="211">
      <c r="B211" s="81" t="n"/>
      <c r="C211" s="31" t="n"/>
      <c r="D211" s="31" t="n"/>
      <c r="E211" s="31" t="n"/>
      <c r="F211" s="32" t="n"/>
      <c r="G211" s="30">
        <f>IF(B211="","",IF(OR(B211&lt;gm_Mes,B211&gt;gm_Fim),"fora do mês",ROUNDUP(DAY(B211)/7,0)))</f>
        <v/>
      </c>
    </row>
    <row r="212">
      <c r="B212" s="81" t="n"/>
      <c r="C212" s="31" t="n"/>
      <c r="D212" s="31" t="n"/>
      <c r="E212" s="31" t="n"/>
      <c r="F212" s="32" t="n"/>
      <c r="G212" s="30">
        <f>IF(B212="","",IF(OR(B212&lt;gm_Mes,B212&gt;gm_Fim),"fora do mês",ROUNDUP(DAY(B212)/7,0)))</f>
        <v/>
      </c>
    </row>
    <row r="213">
      <c r="B213" s="81" t="n"/>
      <c r="C213" s="31" t="n"/>
      <c r="D213" s="31" t="n"/>
      <c r="E213" s="31" t="n"/>
      <c r="F213" s="32" t="n"/>
      <c r="G213" s="30">
        <f>IF(B213="","",IF(OR(B213&lt;gm_Mes,B213&gt;gm_Fim),"fora do mês",ROUNDUP(DAY(B213)/7,0)))</f>
        <v/>
      </c>
    </row>
    <row r="214">
      <c r="B214" s="81" t="n"/>
      <c r="C214" s="31" t="n"/>
      <c r="D214" s="31" t="n"/>
      <c r="E214" s="31" t="n"/>
      <c r="F214" s="32" t="n"/>
      <c r="G214" s="30">
        <f>IF(B214="","",IF(OR(B214&lt;gm_Mes,B214&gt;gm_Fim),"fora do mês",ROUNDUP(DAY(B214)/7,0)))</f>
        <v/>
      </c>
    </row>
    <row r="215">
      <c r="B215" s="81" t="n"/>
      <c r="C215" s="31" t="n"/>
      <c r="D215" s="31" t="n"/>
      <c r="E215" s="31" t="n"/>
      <c r="F215" s="32" t="n"/>
      <c r="G215" s="30">
        <f>IF(B215="","",IF(OR(B215&lt;gm_Mes,B215&gt;gm_Fim),"fora do mês",ROUNDUP(DAY(B215)/7,0)))</f>
        <v/>
      </c>
    </row>
    <row r="216">
      <c r="B216" s="81" t="n"/>
      <c r="C216" s="31" t="n"/>
      <c r="D216" s="31" t="n"/>
      <c r="E216" s="31" t="n"/>
      <c r="F216" s="32" t="n"/>
      <c r="G216" s="30">
        <f>IF(B216="","",IF(OR(B216&lt;gm_Mes,B216&gt;gm_Fim),"fora do mês",ROUNDUP(DAY(B216)/7,0)))</f>
        <v/>
      </c>
    </row>
    <row r="217">
      <c r="B217" s="81" t="n"/>
      <c r="C217" s="31" t="n"/>
      <c r="D217" s="31" t="n"/>
      <c r="E217" s="31" t="n"/>
      <c r="F217" s="32" t="n"/>
      <c r="G217" s="30">
        <f>IF(B217="","",IF(OR(B217&lt;gm_Mes,B217&gt;gm_Fim),"fora do mês",ROUNDUP(DAY(B217)/7,0)))</f>
        <v/>
      </c>
    </row>
    <row r="218">
      <c r="B218" s="81" t="n"/>
      <c r="C218" s="31" t="n"/>
      <c r="D218" s="31" t="n"/>
      <c r="E218" s="31" t="n"/>
      <c r="F218" s="32" t="n"/>
      <c r="G218" s="30">
        <f>IF(B218="","",IF(OR(B218&lt;gm_Mes,B218&gt;gm_Fim),"fora do mês",ROUNDUP(DAY(B218)/7,0)))</f>
        <v/>
      </c>
    </row>
    <row r="219">
      <c r="B219" s="81" t="n"/>
      <c r="C219" s="31" t="n"/>
      <c r="D219" s="31" t="n"/>
      <c r="E219" s="31" t="n"/>
      <c r="F219" s="32" t="n"/>
      <c r="G219" s="30">
        <f>IF(B219="","",IF(OR(B219&lt;gm_Mes,B219&gt;gm_Fim),"fora do mês",ROUNDUP(DAY(B219)/7,0)))</f>
        <v/>
      </c>
    </row>
    <row r="220">
      <c r="B220" s="81" t="n"/>
      <c r="C220" s="31" t="n"/>
      <c r="D220" s="31" t="n"/>
      <c r="E220" s="31" t="n"/>
      <c r="F220" s="32" t="n"/>
      <c r="G220" s="30">
        <f>IF(B220="","",IF(OR(B220&lt;gm_Mes,B220&gt;gm_Fim),"fora do mês",ROUNDUP(DAY(B220)/7,0)))</f>
        <v/>
      </c>
    </row>
    <row r="221">
      <c r="B221" s="81" t="n"/>
      <c r="C221" s="31" t="n"/>
      <c r="D221" s="31" t="n"/>
      <c r="E221" s="31" t="n"/>
      <c r="F221" s="32" t="n"/>
      <c r="G221" s="30">
        <f>IF(B221="","",IF(OR(B221&lt;gm_Mes,B221&gt;gm_Fim),"fora do mês",ROUNDUP(DAY(B221)/7,0)))</f>
        <v/>
      </c>
    </row>
    <row r="222">
      <c r="B222" s="81" t="n"/>
      <c r="C222" s="31" t="n"/>
      <c r="D222" s="31" t="n"/>
      <c r="E222" s="31" t="n"/>
      <c r="F222" s="32" t="n"/>
      <c r="G222" s="30">
        <f>IF(B222="","",IF(OR(B222&lt;gm_Mes,B222&gt;gm_Fim),"fora do mês",ROUNDUP(DAY(B222)/7,0)))</f>
        <v/>
      </c>
    </row>
    <row r="223">
      <c r="B223" s="81" t="n"/>
      <c r="C223" s="31" t="n"/>
      <c r="D223" s="31" t="n"/>
      <c r="E223" s="31" t="n"/>
      <c r="F223" s="32" t="n"/>
      <c r="G223" s="30">
        <f>IF(B223="","",IF(OR(B223&lt;gm_Mes,B223&gt;gm_Fim),"fora do mês",ROUNDUP(DAY(B223)/7,0)))</f>
        <v/>
      </c>
    </row>
    <row r="224">
      <c r="B224" s="81" t="n"/>
      <c r="C224" s="31" t="n"/>
      <c r="D224" s="31" t="n"/>
      <c r="E224" s="31" t="n"/>
      <c r="F224" s="32" t="n"/>
      <c r="G224" s="30">
        <f>IF(B224="","",IF(OR(B224&lt;gm_Mes,B224&gt;gm_Fim),"fora do mês",ROUNDUP(DAY(B224)/7,0)))</f>
        <v/>
      </c>
    </row>
    <row r="225">
      <c r="B225" s="81" t="n"/>
      <c r="C225" s="31" t="n"/>
      <c r="D225" s="31" t="n"/>
      <c r="E225" s="31" t="n"/>
      <c r="F225" s="32" t="n"/>
      <c r="G225" s="30">
        <f>IF(B225="","",IF(OR(B225&lt;gm_Mes,B225&gt;gm_Fim),"fora do mês",ROUNDUP(DAY(B225)/7,0)))</f>
        <v/>
      </c>
    </row>
  </sheetData>
  <autoFilter ref="B25:G225"/>
  <mergeCells count="43">
    <mergeCell ref="K16:L16"/>
    <mergeCell ref="I30:J30"/>
    <mergeCell ref="I34:J34"/>
    <mergeCell ref="B2:P2"/>
    <mergeCell ref="B7:C7"/>
    <mergeCell ref="K15:L15"/>
    <mergeCell ref="I27:J27"/>
    <mergeCell ref="B1:P1"/>
    <mergeCell ref="N8:P8"/>
    <mergeCell ref="I26:J26"/>
    <mergeCell ref="F7:G7"/>
    <mergeCell ref="K8:M8"/>
    <mergeCell ref="I32:J32"/>
    <mergeCell ref="I7:J7"/>
    <mergeCell ref="I25:J25"/>
    <mergeCell ref="I41:J41"/>
    <mergeCell ref="N9:P9"/>
    <mergeCell ref="I28:J28"/>
    <mergeCell ref="B8:C8"/>
    <mergeCell ref="K7:M7"/>
    <mergeCell ref="F8:G8"/>
    <mergeCell ref="D7:E7"/>
    <mergeCell ref="K12:L12"/>
    <mergeCell ref="I33:J33"/>
    <mergeCell ref="I39:J39"/>
    <mergeCell ref="I8:J8"/>
    <mergeCell ref="B9:C9"/>
    <mergeCell ref="D9:E9"/>
    <mergeCell ref="K14:L14"/>
    <mergeCell ref="F9:G9"/>
    <mergeCell ref="K17:L17"/>
    <mergeCell ref="D8:E8"/>
    <mergeCell ref="N7:P7"/>
    <mergeCell ref="I29:J29"/>
    <mergeCell ref="I35:J35"/>
    <mergeCell ref="I38:J38"/>
    <mergeCell ref="I40:J40"/>
    <mergeCell ref="K9:M9"/>
    <mergeCell ref="B19:P20"/>
    <mergeCell ref="I31:J31"/>
    <mergeCell ref="K13:L13"/>
    <mergeCell ref="K18:L18"/>
    <mergeCell ref="I9:J9"/>
  </mergeCells>
  <conditionalFormatting sqref="F8">
    <cfRule type="cellIs" priority="1" operator="lessThan" dxfId="10">
      <formula>0</formula>
    </cfRule>
  </conditionalFormatting>
  <conditionalFormatting sqref="I8">
    <cfRule type="cellIs" priority="2" operator="lessThan" dxfId="10">
      <formula>0</formula>
    </cfRule>
  </conditionalFormatting>
  <conditionalFormatting sqref="K8">
    <cfRule type="cellIs" priority="3" operator="lessThan" dxfId="10">
      <formula>0</formula>
    </cfRule>
  </conditionalFormatting>
  <conditionalFormatting sqref="N8">
    <cfRule type="cellIs" priority="4" operator="lessThan" dxfId="10">
      <formula>0</formula>
    </cfRule>
  </conditionalFormatting>
  <conditionalFormatting sqref="J13:J18">
    <cfRule type="dataBar" priority="5">
      <dataBar>
        <cfvo type="num" val="0"/>
        <cfvo type="num" val="1"/>
        <color rgb="0070AD47"/>
      </dataBar>
    </cfRule>
  </conditionalFormatting>
  <conditionalFormatting sqref="G13:I18">
    <cfRule type="cellIs" priority="6" operator="lessThan" dxfId="9">
      <formula>0</formula>
    </cfRule>
  </conditionalFormatting>
  <conditionalFormatting sqref="K13:K17">
    <cfRule type="cellIs" priority="7" operator="equal" dxfId="4">
      <formula>"passou do limite"</formula>
    </cfRule>
    <cfRule type="cellIs" priority="8" operator="equal" dxfId="11">
      <formula>"dentro do limite ✔"</formula>
    </cfRule>
    <cfRule type="cellIs" priority="9" operator="equal" dxfId="12">
      <formula>"em andamento"</formula>
    </cfRule>
  </conditionalFormatting>
  <conditionalFormatting sqref="L26:L34">
    <cfRule type="dataBar" priority="10">
      <dataBar>
        <cfvo type="num" val="0"/>
        <cfvo type="num" val="1"/>
        <color rgb="00C0504D"/>
      </dataBar>
    </cfRule>
  </conditionalFormatting>
  <dataValidations count="2">
    <dataValidation sqref="D26:D225" showDropDown="0" showInputMessage="0" showErrorMessage="0" allowBlank="1" error="Escolha um item da lista." type="list">
      <formula1>"Mercado,Uber / transporte,Delivery / restaurante,Lazer,Beleza / cuidados,Saúde / farmácia,Compras,Presentes,Outros"</formula1>
    </dataValidation>
    <dataValidation sqref="E26:E225" showDropDown="0" showInputMessage="0" showErrorMessage="1" allowBlank="1" error="Escolha um item da lista." type="list">
      <formula1>"Cartão,Débito,Pix,Dinheiro"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91" t="inlineStr">
        <is>
          <t>COMO USAR</t>
        </is>
      </c>
    </row>
    <row r="2">
      <c r="A2" s="92" t="inlineStr">
        <is>
          <t>1. Todo mês, quando o salário cair, atualize o ÚLTIMO SALÁRIO (Contas Mensais, E4).</t>
        </is>
      </c>
    </row>
    <row r="3">
      <c r="A3" s="92" t="inlineStr">
        <is>
          <t>2. Compra parcelada nova: numa linha branca de Contas Mensais, escreva o que é, a quem deve, forma, VALOR TOTAL, nº de PARCELAS e o 1º MÊS.</t>
        </is>
      </c>
    </row>
    <row r="4">
      <c r="A4" s="92" t="inlineStr">
        <is>
          <t xml:space="preserve">   No cartão, o 1º mês é o da FATURA (a fatura fecha 7 dias antes do vencimento, dia 6).</t>
        </is>
      </c>
    </row>
    <row r="5">
      <c r="A5" s="92" t="inlineStr">
        <is>
          <t>3. Conta fixa (aluguel, assinatura, academia): deixe PARCELAS vazio e coloque o valor mensal.</t>
        </is>
      </c>
    </row>
    <row r="6">
      <c r="A6" s="92" t="inlineStr">
        <is>
          <t>4. Meta de economia: forma 'Caixinha'. Entra no total do mês, mas não conta como dívida.</t>
        </is>
      </c>
    </row>
    <row r="7">
      <c r="A7" s="92" t="inlineStr">
        <is>
          <t>5. Escolha o MÊS em B4 para ver a fatura, o total, a sobra do salário e quanto dá por dia.</t>
        </is>
      </c>
    </row>
    <row r="8">
      <c r="A8" s="92" t="inlineStr">
        <is>
          <t>6. Gastos do dia a dia: anote na aba 'Gastos do Mês'. Os feitos no cartão entram sozinhos na fatura do mês seguinte.</t>
        </is>
      </c>
    </row>
    <row r="9">
      <c r="A9" s="92" t="inlineStr">
        <is>
          <t>7. Mês novo: na aba Gastos do Mês, troque o mês (C4), ajuste o limite e apague os gastos antigos (ou duplique a aba antes).</t>
        </is>
      </c>
    </row>
    <row r="10">
      <c r="A10" s="92" t="inlineStr"/>
    </row>
    <row r="11">
      <c r="A11" s="92" t="inlineStr">
        <is>
          <t>Planilha gerada automaticamente pelo script gerar_planilha.py.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2026-09-30T18:53:49Z</dcterms:created>
  <dcterms:modified xmlns:dcterms="http://purl.org/dc/terms/" xmlns:xsi="http://www.w3.org/2001/XMLSchema-instance" xsi:type="dcterms:W3CDTF">2026-09-30T18:53:49Z</dcterms:modified>
</cp:coreProperties>
</file>